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gramming\Trae - MomAutomations\demo\outputs\"/>
    </mc:Choice>
  </mc:AlternateContent>
  <xr:revisionPtr revIDLastSave="0" documentId="13_ncr:1_{C6AF408F-579F-4B18-ADAD-599C3F7CA63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3" i="1" s="1"/>
  <c r="B6" i="1"/>
  <c r="B7" i="1"/>
  <c r="B5" i="1"/>
</calcChain>
</file>

<file path=xl/sharedStrings.xml><?xml version="1.0" encoding="utf-8"?>
<sst xmlns="http://schemas.openxmlformats.org/spreadsheetml/2006/main" count="101" uniqueCount="58">
  <si>
    <t>Serie document</t>
  </si>
  <si>
    <t>Numar document</t>
  </si>
  <si>
    <t>Cod depozit</t>
  </si>
  <si>
    <t>Nume depozit</t>
  </si>
  <si>
    <t>Data document</t>
  </si>
  <si>
    <t>Data scadenta</t>
  </si>
  <si>
    <t>Cod tip factura SAF-T</t>
  </si>
  <si>
    <t>Cod partener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</si>
  <si>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</si>
  <si>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</si>
  <si>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</si>
  <si>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</si>
  <si>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</si>
  <si>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</si>
  <si>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</si>
  <si>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</si>
  <si>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</si>
  <si>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</si>
  <si>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</si>
  <si>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</si>
  <si>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</si>
  <si>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</si>
  <si>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</si>
  <si>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Cod agent</t>
  </si>
  <si>
    <t>Valoare neta totala</t>
  </si>
  <si>
    <t>Valoare TVA</t>
  </si>
  <si>
    <t>Total document</t>
  </si>
  <si>
    <t>Numar bonuri fiscale</t>
  </si>
  <si>
    <t>Card</t>
  </si>
  <si>
    <t>Cont banca</t>
  </si>
  <si>
    <t>Numerar</t>
  </si>
  <si>
    <t>Cont casa</t>
  </si>
  <si>
    <t>Tichete</t>
  </si>
  <si>
    <t>Cont tichete</t>
  </si>
  <si>
    <t>Cont TVA</t>
  </si>
  <si>
    <t>Cod articol</t>
  </si>
  <si>
    <t>Cod de bare</t>
  </si>
  <si>
    <t>Denumire articol</t>
  </si>
  <si>
    <t>Cantitate</t>
  </si>
  <si>
    <t>Cod lot</t>
  </si>
  <si>
    <t>Data expirare</t>
  </si>
  <si>
    <t>Nr seriale</t>
  </si>
  <si>
    <t>Tip miscare SAF-T</t>
  </si>
  <si>
    <t>Cont serviciu</t>
  </si>
  <si>
    <t>Pret cu TVA</t>
  </si>
  <si>
    <t>Total fara TVA</t>
  </si>
  <si>
    <t>Total TVA</t>
  </si>
  <si>
    <t>Total cu TVA</t>
  </si>
  <si>
    <t>Optiune TVA</t>
  </si>
  <si>
    <t>Cota TVA</t>
  </si>
  <si>
    <t>Cod TVA SAF-T</t>
  </si>
  <si>
    <t>Discount</t>
  </si>
  <si>
    <t>DiscountLinie</t>
  </si>
  <si>
    <t>marfa m1  21%</t>
  </si>
  <si>
    <t xml:space="preserve">marfa m1 </t>
  </si>
  <si>
    <t>Taxabile</t>
  </si>
  <si>
    <t>marfa m1  11%</t>
  </si>
  <si>
    <t>HF M1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</si>
</sst>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"/>
  <sheetViews>
    <sheetView tabSelected="1" topLeftCell="W1" workbookViewId="0">
      <selection activeCell="AK14" sqref="AK14"/>
    </sheetView>
  </sheetViews>
  <sheetFormatPr defaultRowHeight="15" x14ac:dyDescent="0.25"/>
  <cols>
    <col min="1" max="1" width="15.140625" bestFit="1" customWidth="1"/>
    <col min="2" max="2" width="16.5703125" bestFit="1" customWidth="1"/>
    <col min="3" max="3" width="11.5703125" bestFit="1" customWidth="1"/>
    <col min="4" max="4" width="13.7109375" bestFit="1" customWidth="1"/>
    <col min="5" max="5" width="14.5703125" bestFit="1" customWidth="1"/>
    <col min="6" max="6" width="13.42578125" bestFit="1" customWidth="1"/>
    <col min="7" max="7" width="19.5703125" bestFit="1" customWidth="1"/>
    <col min="8" max="8" width="12.5703125" bestFit="1" customWidth="1"/>
    <col min="9" max="9" width="14.7109375" bestFit="1" customWidth="1"/>
    <col min="10" max="10" width="12.28515625" bestFit="1" customWidth="1"/>
    <col min="11" max="11" width="9.42578125" bestFit="1" customWidth="1"/>
    <col min="12" max="12" width="12.140625" bestFit="1" customWidth="1"/>
    <col min="13" max="13" width="9.85546875" bestFit="1" customWidth="1"/>
    <col min="14" max="14" width="4.7109375" bestFit="1" customWidth="1"/>
    <col min="15" max="15" width="5.85546875" bestFit="1" customWidth="1"/>
    <col min="16" max="16" width="9.5703125" bestFit="1" customWidth="1"/>
    <col min="17" max="17" width="6.5703125" bestFit="1" customWidth="1"/>
    <col min="18" max="18" width="7" bestFit="1" customWidth="1"/>
    <col min="19" max="19" width="4.7109375" bestFit="1" customWidth="1"/>
    <col min="20" max="20" width="5.5703125" bestFit="1" customWidth="1"/>
    <col min="21" max="21" width="4.28515625" bestFit="1" customWidth="1"/>
    <col min="22" max="22" width="11.5703125" bestFit="1" customWidth="1"/>
    <col min="23" max="23" width="10.28515625" bestFit="1" customWidth="1"/>
    <col min="24" max="24" width="9.85546875" bestFit="1" customWidth="1"/>
    <col min="25" max="25" width="18.140625" bestFit="1" customWidth="1"/>
    <col min="26" max="26" width="11.85546875" bestFit="1" customWidth="1"/>
    <col min="27" max="27" width="15" bestFit="1" customWidth="1"/>
    <col min="28" max="28" width="19.7109375" bestFit="1" customWidth="1"/>
    <col min="29" max="29" width="5" bestFit="1" customWidth="1"/>
    <col min="30" max="30" width="10.7109375" bestFit="1" customWidth="1"/>
    <col min="31" max="31" width="8.85546875" bestFit="1" customWidth="1"/>
    <col min="32" max="32" width="9.28515625" bestFit="1" customWidth="1"/>
    <col min="33" max="33" width="7.5703125" bestFit="1" customWidth="1"/>
    <col min="34" max="34" width="11.85546875" bestFit="1" customWidth="1"/>
    <col min="36" max="36" width="10.42578125" bestFit="1" customWidth="1"/>
    <col min="37" max="37" width="11.5703125" bestFit="1" customWidth="1"/>
    <col min="38" max="38" width="16" bestFit="1" customWidth="1"/>
    <col min="40" max="40" width="7.28515625" bestFit="1" customWidth="1"/>
    <col min="41" max="41" width="12.85546875" bestFit="1" customWidth="1"/>
    <col min="42" max="42" width="9.5703125" bestFit="1" customWidth="1"/>
    <col min="43" max="43" width="16.5703125" bestFit="1" customWidth="1"/>
    <col min="44" max="44" width="12.42578125" bestFit="1" customWidth="1"/>
    <col min="45" max="45" width="11.140625" bestFit="1" customWidth="1"/>
    <col min="46" max="46" width="13.42578125" bestFit="1" customWidth="1"/>
    <col min="47" max="47" width="9.42578125" bestFit="1" customWidth="1"/>
    <col min="48" max="48" width="11.85546875" bestFit="1" customWidth="1"/>
    <col min="49" max="49" width="12.28515625" bestFit="1" customWidth="1"/>
    <col min="50" max="50" width="9" bestFit="1" customWidth="1"/>
    <col min="51" max="51" width="14" bestFit="1" customWidth="1"/>
    <col min="52" max="52" width="8.7109375" bestFit="1" customWidth="1"/>
    <col min="53" max="53" width="13.14062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57</v>
      </c>
      <c r="B2">
        <v>123</v>
      </c>
      <c r="C2">
        <v>1</v>
      </c>
      <c r="E2">
        <v>20260201</v>
      </c>
      <c r="F2">
        <v>20260201</v>
      </c>
      <c r="G2">
        <v>380</v>
      </c>
      <c r="Y2">
        <v>125.5</v>
      </c>
      <c r="Z2">
        <v>26.36</v>
      </c>
      <c r="AA2">
        <v>4470.1499999999996</v>
      </c>
      <c r="AC2">
        <v>0</v>
      </c>
      <c r="AD2">
        <v>5125</v>
      </c>
      <c r="AE2">
        <v>4470.1499999999996</v>
      </c>
      <c r="AF2">
        <v>53111</v>
      </c>
      <c r="AG2">
        <v>0</v>
      </c>
      <c r="AH2">
        <v>1234</v>
      </c>
      <c r="AI2">
        <v>5432</v>
      </c>
      <c r="AJ2" t="s">
        <v>53</v>
      </c>
      <c r="AL2" t="s">
        <v>54</v>
      </c>
      <c r="AM2">
        <v>1</v>
      </c>
      <c r="AS2">
        <v>151.86000000000001</v>
      </c>
      <c r="AT2">
        <v>125.5</v>
      </c>
      <c r="AU2">
        <v>26.36</v>
      </c>
      <c r="AV2">
        <v>151.86000000000001</v>
      </c>
      <c r="AW2" t="s">
        <v>55</v>
      </c>
      <c r="AX2">
        <v>21</v>
      </c>
      <c r="AY2">
        <v>123456</v>
      </c>
    </row>
    <row r="3" spans="1:53" x14ac:dyDescent="0.25">
      <c r="A3" t="s">
        <v>57</v>
      </c>
      <c r="B3">
        <v>124</v>
      </c>
      <c r="C3">
        <v>1</v>
      </c>
      <c r="E3">
        <v>20260202</v>
      </c>
      <c r="F3">
        <v>20260202</v>
      </c>
      <c r="G3">
        <v>380</v>
      </c>
      <c r="Y3">
        <v>98.3</v>
      </c>
      <c r="Z3">
        <v>20.64</v>
      </c>
      <c r="AA3">
        <v>3848.4</v>
      </c>
      <c r="AC3">
        <v>0</v>
      </c>
      <c r="AD3">
        <v>5125</v>
      </c>
      <c r="AE3">
        <v>3848.4</v>
      </c>
      <c r="AF3">
        <v>53111</v>
      </c>
      <c r="AG3">
        <v>0</v>
      </c>
      <c r="AH3">
        <v>1234</v>
      </c>
      <c r="AI3">
        <v>5432</v>
      </c>
      <c r="AJ3" t="s">
        <v>53</v>
      </c>
      <c r="AL3" t="s">
        <v>54</v>
      </c>
      <c r="AM3">
        <v>1</v>
      </c>
      <c r="AS3">
        <v>118.94</v>
      </c>
      <c r="AT3">
        <v>98.3</v>
      </c>
      <c r="AU3">
        <v>20.64</v>
      </c>
      <c r="AV3">
        <v>118.94</v>
      </c>
      <c r="AW3" t="s">
        <v>55</v>
      </c>
      <c r="AX3">
        <v>21</v>
      </c>
      <c r="AY3">
        <v>123456</v>
      </c>
    </row>
    <row r="4" spans="1:53" x14ac:dyDescent="0.25">
      <c r="A4" t="s">
        <v>57</v>
      </c>
      <c r="B4">
        <v>125</v>
      </c>
      <c r="C4">
        <v>1</v>
      </c>
      <c r="E4">
        <v>20260203</v>
      </c>
      <c r="F4">
        <v>20260203</v>
      </c>
      <c r="G4">
        <v>380</v>
      </c>
      <c r="Y4">
        <v>210.75</v>
      </c>
      <c r="Z4">
        <v>44.26</v>
      </c>
      <c r="AA4">
        <v>5045.3</v>
      </c>
      <c r="AC4">
        <v>0</v>
      </c>
      <c r="AD4">
        <v>5125</v>
      </c>
      <c r="AE4">
        <v>5045.3</v>
      </c>
      <c r="AF4">
        <v>53111</v>
      </c>
      <c r="AG4">
        <v>0</v>
      </c>
      <c r="AH4">
        <v>1234</v>
      </c>
      <c r="AI4">
        <v>5432</v>
      </c>
      <c r="AJ4" t="s">
        <v>53</v>
      </c>
      <c r="AL4" t="s">
        <v>54</v>
      </c>
      <c r="AM4">
        <v>1</v>
      </c>
      <c r="AS4">
        <v>255.01</v>
      </c>
      <c r="AT4">
        <v>210.75</v>
      </c>
      <c r="AU4">
        <v>44.26</v>
      </c>
      <c r="AV4">
        <v>255.01</v>
      </c>
      <c r="AW4" t="s">
        <v>55</v>
      </c>
      <c r="AX4">
        <v>21</v>
      </c>
      <c r="AY4">
        <v>123456</v>
      </c>
    </row>
    <row r="5" spans="1:53" x14ac:dyDescent="0.25">
      <c r="A5" t="s">
        <v>57</v>
      </c>
      <c r="B5">
        <f>B4+1</f>
        <v>126</v>
      </c>
      <c r="C5">
        <v>1</v>
      </c>
      <c r="E5">
        <v>20260204</v>
      </c>
      <c r="F5">
        <v>20260204</v>
      </c>
      <c r="G5">
        <v>380</v>
      </c>
      <c r="Y5">
        <v>45.2</v>
      </c>
      <c r="Z5">
        <v>9.49</v>
      </c>
      <c r="AA5">
        <v>2859.3</v>
      </c>
      <c r="AC5">
        <v>0</v>
      </c>
      <c r="AD5">
        <v>5125</v>
      </c>
      <c r="AE5">
        <v>2859.3</v>
      </c>
      <c r="AF5">
        <v>53111</v>
      </c>
      <c r="AG5">
        <v>0</v>
      </c>
      <c r="AH5">
        <v>1234</v>
      </c>
      <c r="AI5">
        <v>5432</v>
      </c>
      <c r="AJ5" t="s">
        <v>53</v>
      </c>
      <c r="AL5" t="s">
        <v>54</v>
      </c>
      <c r="AM5">
        <v>1</v>
      </c>
      <c r="AS5">
        <v>54.69</v>
      </c>
      <c r="AT5">
        <v>45.2</v>
      </c>
      <c r="AU5">
        <v>9.49</v>
      </c>
      <c r="AV5">
        <v>54.69</v>
      </c>
      <c r="AW5" t="s">
        <v>55</v>
      </c>
      <c r="AX5">
        <v>21</v>
      </c>
      <c r="AY5">
        <v>123456</v>
      </c>
    </row>
    <row r="6" spans="1:53" x14ac:dyDescent="0.25">
      <c r="A6" t="s">
        <v>57</v>
      </c>
      <c r="B6">
        <f t="shared" ref="B6:B13" si="0">B5+1</f>
        <v>127</v>
      </c>
      <c r="C6">
        <v>1</v>
      </c>
      <c r="E6">
        <v>20260205</v>
      </c>
      <c r="F6">
        <v>20260205</v>
      </c>
      <c r="G6">
        <v>380</v>
      </c>
      <c r="Y6">
        <v>340.1</v>
      </c>
      <c r="Z6">
        <v>71.42</v>
      </c>
      <c r="AA6">
        <v>6230.3</v>
      </c>
      <c r="AC6">
        <v>0</v>
      </c>
      <c r="AD6">
        <v>5125</v>
      </c>
      <c r="AE6">
        <v>6230.3</v>
      </c>
      <c r="AF6">
        <v>53111</v>
      </c>
      <c r="AG6">
        <v>0</v>
      </c>
      <c r="AH6">
        <v>1234</v>
      </c>
      <c r="AI6">
        <v>5432</v>
      </c>
      <c r="AJ6" t="s">
        <v>53</v>
      </c>
      <c r="AL6" t="s">
        <v>54</v>
      </c>
      <c r="AM6">
        <v>1</v>
      </c>
      <c r="AS6">
        <v>411.52</v>
      </c>
      <c r="AT6">
        <v>340.1</v>
      </c>
      <c r="AU6">
        <v>71.42</v>
      </c>
      <c r="AV6">
        <v>411.52</v>
      </c>
      <c r="AW6" t="s">
        <v>55</v>
      </c>
      <c r="AX6">
        <v>21</v>
      </c>
      <c r="AY6">
        <v>123456</v>
      </c>
    </row>
    <row r="7" spans="1:53" x14ac:dyDescent="0.25">
      <c r="A7" t="s">
        <v>57</v>
      </c>
      <c r="B7">
        <f t="shared" si="0"/>
        <v>128</v>
      </c>
      <c r="C7">
        <v>1</v>
      </c>
      <c r="E7">
        <v>20260206</v>
      </c>
      <c r="F7">
        <v>20260206</v>
      </c>
      <c r="G7">
        <v>380</v>
      </c>
      <c r="Y7">
        <v>178.6</v>
      </c>
      <c r="Z7">
        <v>37.51</v>
      </c>
      <c r="AA7">
        <v>4394.5</v>
      </c>
      <c r="AC7">
        <v>0</v>
      </c>
      <c r="AD7">
        <v>5125</v>
      </c>
      <c r="AE7">
        <v>4394.5</v>
      </c>
      <c r="AF7">
        <v>53111</v>
      </c>
      <c r="AG7">
        <v>0</v>
      </c>
      <c r="AH7">
        <v>1234</v>
      </c>
      <c r="AI7">
        <v>5432</v>
      </c>
      <c r="AJ7" t="s">
        <v>53</v>
      </c>
      <c r="AL7" t="s">
        <v>54</v>
      </c>
      <c r="AM7">
        <v>1</v>
      </c>
      <c r="AS7">
        <v>216.11</v>
      </c>
      <c r="AT7">
        <v>178.6</v>
      </c>
      <c r="AU7">
        <v>37.51</v>
      </c>
      <c r="AV7">
        <v>216.11</v>
      </c>
      <c r="AW7" t="s">
        <v>55</v>
      </c>
      <c r="AX7">
        <v>21</v>
      </c>
      <c r="AY7">
        <v>123456</v>
      </c>
    </row>
    <row r="8" spans="1:53" x14ac:dyDescent="0.25">
      <c r="A8" t="s">
        <v>57</v>
      </c>
      <c r="B8">
        <v>123</v>
      </c>
      <c r="C8">
        <v>1</v>
      </c>
      <c r="E8">
        <v>20260201</v>
      </c>
      <c r="F8">
        <v>20260201</v>
      </c>
      <c r="G8">
        <v>380</v>
      </c>
      <c r="Y8">
        <v>3980.2</v>
      </c>
      <c r="Z8">
        <v>437.82</v>
      </c>
      <c r="AA8">
        <v>4470.1499999999996</v>
      </c>
      <c r="AC8">
        <v>0</v>
      </c>
      <c r="AD8">
        <v>5125</v>
      </c>
      <c r="AE8">
        <v>4470.1499999999996</v>
      </c>
      <c r="AF8">
        <v>53111</v>
      </c>
      <c r="AG8">
        <v>0</v>
      </c>
      <c r="AH8">
        <v>1234</v>
      </c>
      <c r="AI8">
        <v>5432</v>
      </c>
      <c r="AJ8" t="s">
        <v>56</v>
      </c>
      <c r="AL8" t="s">
        <v>54</v>
      </c>
      <c r="AM8">
        <v>1</v>
      </c>
      <c r="AS8">
        <v>4418.0200000000004</v>
      </c>
      <c r="AT8">
        <v>3980.2</v>
      </c>
      <c r="AU8">
        <v>437.82</v>
      </c>
      <c r="AV8">
        <v>4418.0200000000004</v>
      </c>
      <c r="AW8" t="s">
        <v>55</v>
      </c>
      <c r="AX8">
        <v>11</v>
      </c>
      <c r="AY8">
        <v>123456</v>
      </c>
    </row>
    <row r="9" spans="1:53" x14ac:dyDescent="0.25">
      <c r="A9" t="s">
        <v>57</v>
      </c>
      <c r="B9">
        <v>124</v>
      </c>
      <c r="C9">
        <v>1</v>
      </c>
      <c r="E9">
        <v>20260202</v>
      </c>
      <c r="F9">
        <v>20260202</v>
      </c>
      <c r="G9">
        <v>380</v>
      </c>
      <c r="Y9">
        <v>3450</v>
      </c>
      <c r="Z9">
        <v>379.5</v>
      </c>
      <c r="AA9">
        <v>3848.4</v>
      </c>
      <c r="AC9">
        <v>0</v>
      </c>
      <c r="AD9">
        <v>5125</v>
      </c>
      <c r="AE9">
        <v>3848.4</v>
      </c>
      <c r="AF9">
        <v>53111</v>
      </c>
      <c r="AG9">
        <v>0</v>
      </c>
      <c r="AH9">
        <v>1234</v>
      </c>
      <c r="AI9">
        <v>5432</v>
      </c>
      <c r="AJ9" t="s">
        <v>56</v>
      </c>
      <c r="AL9" t="s">
        <v>54</v>
      </c>
      <c r="AM9">
        <v>1</v>
      </c>
      <c r="AS9">
        <v>3829.5</v>
      </c>
      <c r="AT9">
        <v>3450</v>
      </c>
      <c r="AU9">
        <v>379.5</v>
      </c>
      <c r="AV9">
        <v>3829.5</v>
      </c>
      <c r="AW9" t="s">
        <v>55</v>
      </c>
      <c r="AX9">
        <v>11</v>
      </c>
      <c r="AY9">
        <v>123456</v>
      </c>
    </row>
    <row r="10" spans="1:53" x14ac:dyDescent="0.25">
      <c r="A10" t="s">
        <v>57</v>
      </c>
      <c r="B10">
        <v>125</v>
      </c>
      <c r="C10">
        <v>1</v>
      </c>
      <c r="E10">
        <v>20260203</v>
      </c>
      <c r="F10">
        <v>20260203</v>
      </c>
      <c r="G10">
        <v>380</v>
      </c>
      <c r="Y10">
        <v>4576</v>
      </c>
      <c r="Z10">
        <v>503.36</v>
      </c>
      <c r="AA10">
        <v>5045.3</v>
      </c>
      <c r="AC10">
        <v>0</v>
      </c>
      <c r="AD10">
        <v>5125</v>
      </c>
      <c r="AE10">
        <v>5045.3</v>
      </c>
      <c r="AF10">
        <v>53111</v>
      </c>
      <c r="AG10">
        <v>0</v>
      </c>
      <c r="AH10">
        <v>1234</v>
      </c>
      <c r="AI10">
        <v>5432</v>
      </c>
      <c r="AJ10" t="s">
        <v>56</v>
      </c>
      <c r="AL10" t="s">
        <v>54</v>
      </c>
      <c r="AM10">
        <v>1</v>
      </c>
      <c r="AS10">
        <v>5079.3599999999997</v>
      </c>
      <c r="AT10">
        <v>4576</v>
      </c>
      <c r="AU10">
        <v>503.36</v>
      </c>
      <c r="AV10">
        <v>5079.3599999999997</v>
      </c>
      <c r="AW10" t="s">
        <v>55</v>
      </c>
      <c r="AX10">
        <v>11</v>
      </c>
      <c r="AY10">
        <v>123456</v>
      </c>
    </row>
    <row r="11" spans="1:53" x14ac:dyDescent="0.25">
      <c r="A11" t="s">
        <v>57</v>
      </c>
      <c r="B11">
        <f>B10+1</f>
        <v>126</v>
      </c>
      <c r="C11">
        <v>1</v>
      </c>
      <c r="E11">
        <v>20260204</v>
      </c>
      <c r="F11">
        <v>20260204</v>
      </c>
      <c r="G11">
        <v>380</v>
      </c>
      <c r="Y11">
        <v>2678.9</v>
      </c>
      <c r="Z11">
        <v>294.68</v>
      </c>
      <c r="AA11">
        <v>2859.3</v>
      </c>
      <c r="AC11">
        <v>0</v>
      </c>
      <c r="AD11">
        <v>5125</v>
      </c>
      <c r="AE11">
        <v>2859.3</v>
      </c>
      <c r="AF11">
        <v>53111</v>
      </c>
      <c r="AG11">
        <v>0</v>
      </c>
      <c r="AH11">
        <v>1234</v>
      </c>
      <c r="AI11">
        <v>5432</v>
      </c>
      <c r="AJ11" t="s">
        <v>56</v>
      </c>
      <c r="AL11" t="s">
        <v>54</v>
      </c>
      <c r="AM11">
        <v>1</v>
      </c>
      <c r="AS11">
        <v>2973.58</v>
      </c>
      <c r="AT11">
        <v>2678.9</v>
      </c>
      <c r="AU11">
        <v>294.68</v>
      </c>
      <c r="AV11">
        <v>2973.58</v>
      </c>
      <c r="AW11" t="s">
        <v>55</v>
      </c>
      <c r="AX11">
        <v>11</v>
      </c>
      <c r="AY11">
        <v>123456</v>
      </c>
    </row>
    <row r="12" spans="1:53" x14ac:dyDescent="0.25">
      <c r="A12" t="s">
        <v>57</v>
      </c>
      <c r="B12">
        <f t="shared" si="0"/>
        <v>127</v>
      </c>
      <c r="C12">
        <v>1</v>
      </c>
      <c r="E12">
        <v>20260205</v>
      </c>
      <c r="F12">
        <v>20260205</v>
      </c>
      <c r="G12">
        <v>380</v>
      </c>
      <c r="Y12">
        <v>5678.5</v>
      </c>
      <c r="Z12">
        <v>624.64</v>
      </c>
      <c r="AA12">
        <v>6230.3</v>
      </c>
      <c r="AC12">
        <v>0</v>
      </c>
      <c r="AD12">
        <v>5125</v>
      </c>
      <c r="AE12">
        <v>6230.3</v>
      </c>
      <c r="AF12">
        <v>53111</v>
      </c>
      <c r="AG12">
        <v>0</v>
      </c>
      <c r="AH12">
        <v>1234</v>
      </c>
      <c r="AI12">
        <v>5432</v>
      </c>
      <c r="AJ12" t="s">
        <v>56</v>
      </c>
      <c r="AL12" t="s">
        <v>54</v>
      </c>
      <c r="AM12">
        <v>1</v>
      </c>
      <c r="AS12">
        <v>6303.14</v>
      </c>
      <c r="AT12">
        <v>5678.5</v>
      </c>
      <c r="AU12">
        <v>624.64</v>
      </c>
      <c r="AV12">
        <v>6303.14</v>
      </c>
      <c r="AW12" t="s">
        <v>55</v>
      </c>
      <c r="AX12">
        <v>11</v>
      </c>
      <c r="AY12">
        <v>123456</v>
      </c>
    </row>
    <row r="13" spans="1:53" x14ac:dyDescent="0.25">
      <c r="A13" t="s">
        <v>57</v>
      </c>
      <c r="B13">
        <f t="shared" si="0"/>
        <v>128</v>
      </c>
      <c r="C13">
        <v>1</v>
      </c>
      <c r="E13">
        <v>20260206</v>
      </c>
      <c r="F13">
        <v>20260206</v>
      </c>
      <c r="G13">
        <v>380</v>
      </c>
      <c r="Y13">
        <v>3980.8</v>
      </c>
      <c r="Z13">
        <v>437.89</v>
      </c>
      <c r="AA13">
        <v>4394.5</v>
      </c>
      <c r="AC13">
        <v>0</v>
      </c>
      <c r="AD13">
        <v>5125</v>
      </c>
      <c r="AE13">
        <v>4394.5</v>
      </c>
      <c r="AF13">
        <v>53111</v>
      </c>
      <c r="AG13">
        <v>0</v>
      </c>
      <c r="AH13">
        <v>1234</v>
      </c>
      <c r="AI13">
        <v>5432</v>
      </c>
      <c r="AJ13" t="s">
        <v>56</v>
      </c>
      <c r="AL13" t="s">
        <v>54</v>
      </c>
      <c r="AM13">
        <v>1</v>
      </c>
      <c r="AS13">
        <v>4418.6900000000014</v>
      </c>
      <c r="AT13">
        <v>3980.8</v>
      </c>
      <c r="AU13">
        <v>437.89</v>
      </c>
      <c r="AV13">
        <v>4418.6900000000014</v>
      </c>
      <c r="AW13" t="s">
        <v>55</v>
      </c>
      <c r="AX13">
        <v>11</v>
      </c>
      <c r="AY13">
        <v>123456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2026-06-05T14:39:13Z</dcterms:created>
  <dcterms:modified xsi:type="dcterms:W3CDTF">2026-06-05T19:17:12Z</dcterms:modified>
</cp:coreProperties>
</file>