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MATO\2025\"/>
    </mc:Choice>
  </mc:AlternateContent>
  <xr:revisionPtr revIDLastSave="0" documentId="13_ncr:1_{9129BA89-4A78-4E50-9A2E-07EA22F1B012}" xr6:coauthVersionLast="47" xr6:coauthVersionMax="47" xr10:uidLastSave="{00000000-0000-0000-0000-000000000000}"/>
  <bookViews>
    <workbookView xWindow="60" yWindow="60" windowWidth="15225" windowHeight="14910" xr2:uid="{00000000-000D-0000-FFFF-FFFF00000000}"/>
  </bookViews>
  <sheets>
    <sheet name="NextUp 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62" i="1" l="1"/>
  <c r="AV63" i="1"/>
  <c r="AS62" i="1"/>
  <c r="AS63" i="1"/>
  <c r="AV60" i="1"/>
  <c r="AV61" i="1"/>
  <c r="AS60" i="1"/>
  <c r="AS61" i="1"/>
  <c r="AV58" i="1"/>
  <c r="AV59" i="1"/>
  <c r="AS58" i="1"/>
  <c r="AS59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S2" i="1"/>
  <c r="AS3" i="1"/>
  <c r="AS4" i="1"/>
  <c r="AS5" i="1"/>
  <c r="AS6" i="1"/>
  <c r="AS7" i="1"/>
  <c r="AS8" i="1"/>
  <c r="AS9" i="1"/>
  <c r="AS10" i="1"/>
  <c r="AS11" i="1"/>
  <c r="AS12" i="1"/>
  <c r="AS13" i="1"/>
  <c r="AS14" i="1"/>
  <c r="AS15" i="1"/>
  <c r="AS16" i="1"/>
  <c r="AS17" i="1"/>
  <c r="AS18" i="1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</calcChain>
</file>

<file path=xl/sharedStrings.xml><?xml version="1.0" encoding="utf-8"?>
<sst xmlns="http://schemas.openxmlformats.org/spreadsheetml/2006/main" count="612" uniqueCount="92">
  <si>
    <t>Serie document</t>
  </si>
  <si>
    <t>Numar document</t>
  </si>
  <si>
    <t>Cod depozit</t>
  </si>
  <si>
    <t>Nume depozit</t>
  </si>
  <si>
    <t>Data document</t>
  </si>
  <si>
    <t>Data scadenta</t>
  </si>
  <si>
    <t>Cod tip factura SAF-T</t>
  </si>
  <si>
    <t>Cod partener</t>
  </si>
  <si>
    <t>Nume partener</t>
  </si>
  <si>
    <t>Atribut fiscal</t>
  </si>
  <si>
    <t>Cod fiscal</t>
  </si>
  <si>
    <t>Nr.Reg.Com.</t>
  </si>
  <si>
    <t>Rezidenta</t>
  </si>
  <si>
    <t>Tara</t>
  </si>
  <si>
    <t>Judet</t>
  </si>
  <si>
    <t>Localitate</t>
  </si>
  <si>
    <t>Strada</t>
  </si>
  <si>
    <t>Numar</t>
  </si>
  <si>
    <t>Bloc</t>
  </si>
  <si>
    <t>Scara</t>
  </si>
  <si>
    <t>Etaj</t>
  </si>
  <si>
    <t>Apartament</t>
  </si>
  <si>
    <t>Cod postal</t>
  </si>
  <si>
    <t>Cod agent</t>
  </si>
  <si>
    <t>Valoare neta totala</t>
  </si>
  <si>
    <t>Valoare TVA</t>
  </si>
  <si>
    <t>Total document</t>
  </si>
  <si>
    <t>Numar bonuri fiscale</t>
  </si>
  <si>
    <t>Card</t>
  </si>
  <si>
    <t>Cont banca</t>
  </si>
  <si>
    <t>Numerar</t>
  </si>
  <si>
    <t>Cont casa</t>
  </si>
  <si>
    <t>Tichete</t>
  </si>
  <si>
    <t>Cont tichete</t>
  </si>
  <si>
    <t>Cont TVA</t>
  </si>
  <si>
    <t>Cod articol</t>
  </si>
  <si>
    <t>Cod de bare</t>
  </si>
  <si>
    <t>Denumire articol</t>
  </si>
  <si>
    <t>Cantitate</t>
  </si>
  <si>
    <t>Cod lot</t>
  </si>
  <si>
    <t>Data expirare</t>
  </si>
  <si>
    <t>Nr seriale</t>
  </si>
  <si>
    <t>Tip miscare SAF-T</t>
  </si>
  <si>
    <t>Cont serviciu</t>
  </si>
  <si>
    <t>Pret cu TVA</t>
  </si>
  <si>
    <t>Total fara TVA</t>
  </si>
  <si>
    <t>Total TVA</t>
  </si>
  <si>
    <t>Total cu TVA</t>
  </si>
  <si>
    <t>Optiune TVA</t>
  </si>
  <si>
    <t>Cota TVA</t>
  </si>
  <si>
    <t>Cod TVA SAF-T</t>
  </si>
  <si>
    <t>Discount</t>
  </si>
  <si>
    <t>DiscountLinie</t>
  </si>
  <si>
    <t>5125</t>
  </si>
  <si>
    <t>5328</t>
  </si>
  <si>
    <t>4427</t>
  </si>
  <si>
    <t/>
  </si>
  <si>
    <t>Taxabile</t>
  </si>
  <si>
    <t>BFM2 102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</si>
  <si>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</si>
  <si>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</si>
  <si>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</si>
  <si>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</si>
  <si>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</si>
  <si>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</si>
  <si>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</si>
  <si>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</si>
  <si>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</si>
  <si>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</si>
  <si>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</si>
  <si>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</si>
  <si>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</si>
  <si>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</si>
  <si>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</si>
  <si>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</si>
  <si>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</si>
  <si>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</si>
  <si>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</si>
  <si>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</si>
  <si>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</si>
  <si>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</si>
  <si>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</si>
  <si>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</si>
  <si>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</si>
  <si>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</si>
  <si>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</si>
  <si>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</si>
  <si>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</si>
  <si>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</si>
  <si>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</si>
  <si>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marfa m2 21%</t>
  </si>
  <si>
    <t>marfa m2 11%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</si>
</sst>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name val="Century Gothic"/>
      <family val="2"/>
    </font>
    <font>
      <sz val="11"/>
      <name val="Century Gothic"/>
      <family val="2"/>
    </font>
    <font>
      <sz val="8"/>
      <name val="Calibri"/>
      <family val="2"/>
      <scheme val="minor"/>
    </font>
    <font>
      <sz val="11"/>
      <name val="Century Gothic"/>
      <family val="2"/>
    </font>
    <font>
      <sz val="7"/>
      <color rgb="FF000000"/>
      <name val="Segoe UI"/>
      <family val="2"/>
    </font>
    <font>
      <sz val="11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652A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4" fillId="0" borderId="0" xfId="0" applyFont="1"/>
    <xf numFmtId="2" fontId="2" fillId="0" borderId="0" xfId="0" applyNumberFormat="1" applyFont="1"/>
    <xf numFmtId="2" fontId="0" fillId="0" borderId="0" xfId="0" applyNumberFormat="1"/>
    <xf numFmtId="0" fontId="2" fillId="3" borderId="0" xfId="0" applyFont="1" applyFill="1"/>
    <xf numFmtId="0" fontId="0" fillId="3" borderId="0" xfId="0" applyFill="1"/>
    <xf numFmtId="2" fontId="2" fillId="3" borderId="0" xfId="0" applyNumberFormat="1" applyFont="1" applyFill="1"/>
    <xf numFmtId="0" fontId="2" fillId="4" borderId="0" xfId="0" applyFont="1" applyFill="1"/>
    <xf numFmtId="0" fontId="0" fillId="4" borderId="0" xfId="0" applyFill="1"/>
    <xf numFmtId="0" fontId="4" fillId="4" borderId="0" xfId="0" applyFont="1" applyFill="1"/>
    <xf numFmtId="2" fontId="2" fillId="4" borderId="0" xfId="0" applyNumberFormat="1" applyFont="1" applyFill="1"/>
    <xf numFmtId="0" fontId="4" fillId="3" borderId="0" xfId="0" applyFont="1" applyFill="1"/>
    <xf numFmtId="2" fontId="5" fillId="0" borderId="2" xfId="0" applyNumberFormat="1" applyFont="1" applyBorder="1" applyAlignment="1">
      <alignment vertical="top" shrinkToFit="1"/>
    </xf>
    <xf numFmtId="1" fontId="5" fillId="0" borderId="2" xfId="0" applyNumberFormat="1" applyFont="1" applyBorder="1" applyAlignment="1">
      <alignment horizontal="center" vertical="top" shrinkToFit="1"/>
    </xf>
    <xf numFmtId="2" fontId="0" fillId="3" borderId="0" xfId="0" applyNumberFormat="1" applyFill="1"/>
    <xf numFmtId="165" fontId="5" fillId="0" borderId="2" xfId="0" applyNumberFormat="1" applyFont="1" applyBorder="1" applyAlignment="1">
      <alignment vertical="top" shrinkToFit="1"/>
    </xf>
    <xf numFmtId="4" fontId="5" fillId="0" borderId="2" xfId="0" applyNumberFormat="1" applyFont="1" applyBorder="1" applyAlignment="1">
      <alignment horizontal="center" vertical="top" shrinkToFit="1"/>
    </xf>
    <xf numFmtId="164" fontId="5" fillId="0" borderId="2" xfId="0" applyNumberFormat="1" applyFont="1" applyBorder="1" applyAlignment="1">
      <alignment horizontal="center" vertical="top" shrinkToFit="1"/>
    </xf>
    <xf numFmtId="166" fontId="5" fillId="0" borderId="2" xfId="0" applyNumberFormat="1" applyFont="1" applyBorder="1" applyAlignment="1">
      <alignment horizontal="center" vertical="top" shrinkToFit="1"/>
    </xf>
    <xf numFmtId="166" fontId="5" fillId="0" borderId="3" xfId="0" applyNumberFormat="1" applyFont="1" applyBorder="1" applyAlignment="1">
      <alignment horizontal="center" vertical="top" shrinkToFit="1"/>
    </xf>
    <xf numFmtId="166" fontId="5" fillId="0" borderId="4" xfId="0" applyNumberFormat="1" applyFont="1" applyBorder="1" applyAlignment="1">
      <alignment horizontal="center" vertical="top" shrinkToFit="1"/>
    </xf>
    <xf numFmtId="4" fontId="5" fillId="0" borderId="5" xfId="0" applyNumberFormat="1" applyFont="1" applyBorder="1" applyAlignment="1">
      <alignment horizontal="center" vertical="top" shrinkToFit="1"/>
    </xf>
    <xf numFmtId="2" fontId="5" fillId="0" borderId="2" xfId="0" applyNumberFormat="1" applyFont="1" applyBorder="1" applyAlignment="1">
      <alignment horizontal="center" vertical="top" shrinkToFit="1"/>
    </xf>
    <xf numFmtId="2" fontId="5" fillId="0" borderId="6" xfId="0" applyNumberFormat="1" applyFont="1" applyBorder="1" applyAlignment="1">
      <alignment horizontal="center" vertical="top" shrinkToFit="1"/>
    </xf>
    <xf numFmtId="165" fontId="5" fillId="0" borderId="2" xfId="0" applyNumberFormat="1" applyFont="1" applyBorder="1" applyAlignment="1">
      <alignment horizontal="center" vertical="top" shrinkToFit="1"/>
    </xf>
    <xf numFmtId="2" fontId="5" fillId="0" borderId="5" xfId="0" applyNumberFormat="1" applyFont="1" applyBorder="1" applyAlignment="1">
      <alignment vertical="top" shrinkToFit="1"/>
    </xf>
    <xf numFmtId="4" fontId="5" fillId="0" borderId="5" xfId="0" applyNumberFormat="1" applyFont="1" applyBorder="1" applyAlignment="1">
      <alignment vertical="top" shrinkToFit="1"/>
    </xf>
    <xf numFmtId="4" fontId="5" fillId="0" borderId="7" xfId="0" applyNumberFormat="1" applyFont="1" applyBorder="1" applyAlignment="1">
      <alignment vertical="top" shrinkToFit="1"/>
    </xf>
    <xf numFmtId="4" fontId="5" fillId="0" borderId="2" xfId="0" applyNumberFormat="1" applyFont="1" applyBorder="1" applyAlignment="1">
      <alignment vertical="top" shrinkToFit="1"/>
    </xf>
    <xf numFmtId="164" fontId="5" fillId="0" borderId="2" xfId="0" applyNumberFormat="1" applyFont="1" applyBorder="1" applyAlignment="1">
      <alignment vertical="top" shrinkToFit="1"/>
    </xf>
    <xf numFmtId="4" fontId="5" fillId="0" borderId="3" xfId="0" applyNumberFormat="1" applyFont="1" applyBorder="1" applyAlignment="1">
      <alignment horizontal="center" vertical="top" shrinkToFit="1"/>
    </xf>
    <xf numFmtId="4" fontId="5" fillId="0" borderId="4" xfId="0" applyNumberFormat="1" applyFont="1" applyBorder="1" applyAlignment="1">
      <alignment horizontal="center" vertical="top" shrinkToFit="1"/>
    </xf>
    <xf numFmtId="0" fontId="6" fillId="0" borderId="0" xfId="0" applyFont="1"/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2" formatCode="0.00"/>
      <alignment horizontal="general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alignment horizontal="general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2" formatCode="0.0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4" formatCode="#,##0.00"/>
      <alignment horizontal="right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166" formatCode="dd/mm/yyyy;@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sz val="7"/>
        <color rgb="FF000000"/>
        <name val="Segoe UI"/>
        <family val="2"/>
        <scheme val="none"/>
      </font>
      <numFmt numFmtId="166" formatCode="dd/mm/yyyy;@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Segoe UI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/>
        <right/>
        <top/>
        <bottom style="dashed">
          <color rgb="FF000000"/>
        </bottom>
      </border>
    </dxf>
    <dxf>
      <font>
        <b/>
        <sz val="11"/>
        <name val="Century Gothic"/>
      </font>
      <fill>
        <patternFill patternType="solid">
          <bgColor rgb="FFF652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A63" headerRowDxfId="13" headerRowBorderDxfId="12">
  <autoFilter ref="A1:BA63" xr:uid="{00000000-0009-0000-0100-000001000000}"/>
  <tableColumns count="53">
    <tableColumn id="1" xr3:uid="{00000000-0010-0000-0000-000001000000}" name="Serie document"/>
    <tableColumn id="2" xr3:uid="{00000000-0010-0000-0000-000002000000}" name="Numar document" dataDxfId="11"/>
    <tableColumn id="3" xr3:uid="{00000000-0010-0000-0000-000003000000}" name="Cod depozit"/>
    <tableColumn id="4" xr3:uid="{00000000-0010-0000-0000-000004000000}" name="Nume depozit"/>
    <tableColumn id="5" xr3:uid="{00000000-0010-0000-0000-000005000000}" name="Data document" dataDxfId="10"/>
    <tableColumn id="6" xr3:uid="{00000000-0010-0000-0000-000006000000}" name="Data scadenta" dataDxfId="9"/>
    <tableColumn id="7" xr3:uid="{00000000-0010-0000-0000-000007000000}" name="Cod tip factura SAF-T" dataDxfId="8">
      <calculatedColumnFormula>SUM(Table1[[#This Row],[Valoare TVA]],Table1[[#This Row],[Valoare neta totala]])</calculatedColumnFormula>
    </tableColumn>
    <tableColumn id="8" xr3:uid="{00000000-0010-0000-0000-000008000000}" name="Cod partener"/>
    <tableColumn id="9" xr3:uid="{00000000-0010-0000-0000-000009000000}" name="Nume partener"/>
    <tableColumn id="10" xr3:uid="{00000000-0010-0000-0000-00000A000000}" name="Atribut fiscal"/>
    <tableColumn id="11" xr3:uid="{00000000-0010-0000-0000-00000B000000}" name="Cod fiscal"/>
    <tableColumn id="12" xr3:uid="{00000000-0010-0000-0000-00000C000000}" name="Nr.Reg.Com."/>
    <tableColumn id="13" xr3:uid="{00000000-0010-0000-0000-00000D000000}" name="Rezidenta"/>
    <tableColumn id="14" xr3:uid="{00000000-0010-0000-0000-00000E000000}" name="Tara"/>
    <tableColumn id="15" xr3:uid="{00000000-0010-0000-0000-00000F000000}" name="Judet"/>
    <tableColumn id="16" xr3:uid="{00000000-0010-0000-0000-000010000000}" name="Localitate"/>
    <tableColumn id="17" xr3:uid="{00000000-0010-0000-0000-000011000000}" name="Strada"/>
    <tableColumn id="18" xr3:uid="{00000000-0010-0000-0000-000012000000}" name="Numar"/>
    <tableColumn id="19" xr3:uid="{00000000-0010-0000-0000-000013000000}" name="Bloc"/>
    <tableColumn id="20" xr3:uid="{00000000-0010-0000-0000-000014000000}" name="Scara"/>
    <tableColumn id="21" xr3:uid="{00000000-0010-0000-0000-000015000000}" name="Etaj"/>
    <tableColumn id="22" xr3:uid="{00000000-0010-0000-0000-000016000000}" name="Apartament"/>
    <tableColumn id="23" xr3:uid="{00000000-0010-0000-0000-000017000000}" name="Cod postal"/>
    <tableColumn id="24" xr3:uid="{00000000-0010-0000-0000-000018000000}" name="Cod agent"/>
    <tableColumn id="25" xr3:uid="{00000000-0010-0000-0000-000019000000}" name="Valoare neta totala" dataDxfId="7"/>
    <tableColumn id="26" xr3:uid="{00000000-0010-0000-0000-00001A000000}" name="Valoare TVA" dataDxfId="6"/>
    <tableColumn id="27" xr3:uid="{00000000-0010-0000-0000-00001B000000}" name="Total document"/>
    <tableColumn id="28" xr3:uid="{00000000-0010-0000-0000-00001C000000}" name="Numar bonuri fiscale"/>
    <tableColumn id="29" xr3:uid="{00000000-0010-0000-0000-00001D000000}" name="Card"/>
    <tableColumn id="30" xr3:uid="{00000000-0010-0000-0000-00001E000000}" name="Cont banca"/>
    <tableColumn id="31" xr3:uid="{00000000-0010-0000-0000-00001F000000}" name="Numerar" dataDxfId="5">
      <calculatedColumnFormula>Table1[[#This Row],[Valoare neta totala]]+Table1[[#This Row],[Valoare TVA]]</calculatedColumnFormula>
    </tableColumn>
    <tableColumn id="32" xr3:uid="{00000000-0010-0000-0000-000020000000}" name="Cont casa"/>
    <tableColumn id="33" xr3:uid="{00000000-0010-0000-0000-000021000000}" name="Tichete"/>
    <tableColumn id="34" xr3:uid="{00000000-0010-0000-0000-000022000000}" name="Cont tichete"/>
    <tableColumn id="35" xr3:uid="{00000000-0010-0000-0000-000023000000}" name="Cont TVA"/>
    <tableColumn id="36" xr3:uid="{00000000-0010-0000-0000-000024000000}" name="Cod articol" dataDxfId="0"/>
    <tableColumn id="37" xr3:uid="{00000000-0010-0000-0000-000025000000}" name="Cod de bare"/>
    <tableColumn id="38" xr3:uid="{00000000-0010-0000-0000-000026000000}" name="Denumire articol"/>
    <tableColumn id="39" xr3:uid="{00000000-0010-0000-0000-000027000000}" name="Cantitate"/>
    <tableColumn id="40" xr3:uid="{00000000-0010-0000-0000-000028000000}" name="Cod lot"/>
    <tableColumn id="41" xr3:uid="{00000000-0010-0000-0000-000029000000}" name="Data expirare"/>
    <tableColumn id="42" xr3:uid="{00000000-0010-0000-0000-00002A000000}" name="Nr seriale"/>
    <tableColumn id="43" xr3:uid="{00000000-0010-0000-0000-00002B000000}" name="Tip miscare SAF-T"/>
    <tableColumn id="44" xr3:uid="{00000000-0010-0000-0000-00002C000000}" name="Cont serviciu"/>
    <tableColumn id="45" xr3:uid="{00000000-0010-0000-0000-00002D000000}" name="Pret cu TVA" dataDxfId="4">
      <calculatedColumnFormula>Table1[[#This Row],[Total fara TVA]]+Table1[[#This Row],[Total TVA]]</calculatedColumnFormula>
    </tableColumn>
    <tableColumn id="46" xr3:uid="{00000000-0010-0000-0000-00002E000000}" name="Total fara TVA" dataDxfId="2"/>
    <tableColumn id="47" xr3:uid="{00000000-0010-0000-0000-00002F000000}" name="Total TVA" dataDxfId="1"/>
    <tableColumn id="48" xr3:uid="{00000000-0010-0000-0000-000030000000}" name="Total cu TVA" dataDxfId="3"/>
    <tableColumn id="49" xr3:uid="{00000000-0010-0000-0000-000031000000}" name="Optiune TVA"/>
    <tableColumn id="50" xr3:uid="{00000000-0010-0000-0000-000032000000}" name="Cota TVA"/>
    <tableColumn id="51" xr3:uid="{00000000-0010-0000-0000-000033000000}" name="Cod TVA SAF-T"/>
    <tableColumn id="52" xr3:uid="{00000000-0010-0000-0000-000034000000}" name="Discount"/>
    <tableColumn id="53" xr3:uid="{00000000-0010-0000-0000-000035000000}" name="DiscountLinie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A63"/>
  <sheetViews>
    <sheetView tabSelected="1" workbookViewId="0">
      <selection activeCell="B33" sqref="B33:B63"/>
    </sheetView>
  </sheetViews>
  <sheetFormatPr defaultRowHeight="15" x14ac:dyDescent="0.25"/>
  <cols>
    <col min="1" max="1" width="19.7109375" customWidth="1"/>
    <col min="2" max="2" width="20.5703125" customWidth="1"/>
    <col min="3" max="6" width="14.28515625" customWidth="1"/>
    <col min="7" max="7" width="21.5703125" customWidth="1"/>
    <col min="8" max="24" width="14.28515625" hidden="1" customWidth="1"/>
    <col min="25" max="25" width="17.85546875" customWidth="1"/>
    <col min="26" max="26" width="14.28515625" customWidth="1"/>
    <col min="27" max="27" width="19.28515625" customWidth="1"/>
    <col min="28" max="35" width="14.28515625" customWidth="1"/>
    <col min="36" max="36" width="20.5703125" customWidth="1"/>
    <col min="37" max="37" width="14.28515625" customWidth="1"/>
    <col min="38" max="38" width="27.5703125" customWidth="1"/>
    <col min="39" max="44" width="14.28515625" customWidth="1"/>
    <col min="45" max="45" width="15.5703125" customWidth="1"/>
    <col min="46" max="46" width="17.28515625" customWidth="1"/>
    <col min="47" max="48" width="14.28515625" customWidth="1"/>
    <col min="49" max="49" width="10.7109375" customWidth="1"/>
    <col min="50" max="53" width="14.28515625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t="16.5" x14ac:dyDescent="0.3">
      <c r="A2" s="2" t="s">
        <v>58</v>
      </c>
      <c r="B2" s="35">
        <v>98</v>
      </c>
      <c r="C2" s="2">
        <v>2</v>
      </c>
      <c r="D2" s="2"/>
      <c r="E2" s="21" t="s">
        <v>59</v>
      </c>
      <c r="F2" s="21" t="s">
        <v>59</v>
      </c>
      <c r="G2" s="2">
        <v>380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3">
        <v>3924.37</v>
      </c>
      <c r="Z2" s="24">
        <v>824.12</v>
      </c>
      <c r="AA2" s="32">
        <v>10029.84</v>
      </c>
      <c r="AB2" s="2"/>
      <c r="AC2" s="2">
        <v>0</v>
      </c>
      <c r="AD2" s="2" t="s">
        <v>53</v>
      </c>
      <c r="AE2" s="32">
        <v>10029.84</v>
      </c>
      <c r="AF2" s="2">
        <v>53112</v>
      </c>
      <c r="AG2" s="2">
        <v>0</v>
      </c>
      <c r="AH2" s="2" t="s">
        <v>54</v>
      </c>
      <c r="AI2" s="2" t="s">
        <v>55</v>
      </c>
      <c r="AJ2" s="2" t="s">
        <v>90</v>
      </c>
      <c r="AK2" s="3"/>
      <c r="AL2" s="2" t="s">
        <v>90</v>
      </c>
      <c r="AM2" s="2">
        <v>1</v>
      </c>
      <c r="AN2" s="2"/>
      <c r="AO2" s="2"/>
      <c r="AP2" s="2" t="s">
        <v>56</v>
      </c>
      <c r="AQ2" s="2"/>
      <c r="AR2" s="2"/>
      <c r="AS2" s="4">
        <f>Table1[[#This Row],[Total fara TVA]]+Table1[[#This Row],[Total TVA]]</f>
        <v>4748.49</v>
      </c>
      <c r="AT2" s="23">
        <v>3924.37</v>
      </c>
      <c r="AU2" s="24">
        <v>824.12</v>
      </c>
      <c r="AV2" s="4">
        <f>Table1[[#This Row],[Total fara TVA]]+Table1[[#This Row],[Total TVA]]</f>
        <v>4748.49</v>
      </c>
      <c r="AW2" s="2" t="s">
        <v>57</v>
      </c>
      <c r="AX2" s="2">
        <v>21</v>
      </c>
      <c r="AY2" s="2">
        <v>310344</v>
      </c>
      <c r="AZ2" s="2"/>
      <c r="BA2" s="2"/>
    </row>
    <row r="3" spans="1:53" ht="16.5" x14ac:dyDescent="0.3">
      <c r="A3" s="2" t="s">
        <v>58</v>
      </c>
      <c r="B3" s="36">
        <v>99</v>
      </c>
      <c r="C3" s="2">
        <v>2</v>
      </c>
      <c r="E3" s="22" t="s">
        <v>60</v>
      </c>
      <c r="F3" s="22" t="s">
        <v>60</v>
      </c>
      <c r="G3" s="2">
        <v>380</v>
      </c>
      <c r="Y3" s="23">
        <v>3636.39</v>
      </c>
      <c r="Z3" s="25">
        <v>763.64</v>
      </c>
      <c r="AA3" s="33">
        <v>10315.68</v>
      </c>
      <c r="AC3" s="2">
        <v>0</v>
      </c>
      <c r="AD3" s="2" t="s">
        <v>53</v>
      </c>
      <c r="AE3" s="33">
        <v>10315.68</v>
      </c>
      <c r="AF3" s="2">
        <v>53112</v>
      </c>
      <c r="AG3" s="2">
        <v>0</v>
      </c>
      <c r="AH3" s="2" t="s">
        <v>54</v>
      </c>
      <c r="AI3" s="2" t="s">
        <v>55</v>
      </c>
      <c r="AJ3" s="2" t="s">
        <v>90</v>
      </c>
      <c r="AK3" s="3"/>
      <c r="AL3" s="2" t="s">
        <v>90</v>
      </c>
      <c r="AM3" s="2">
        <v>1</v>
      </c>
      <c r="AS3" s="4">
        <f>Table1[[#This Row],[Total fara TVA]]+Table1[[#This Row],[Total TVA]]</f>
        <v>4400.03</v>
      </c>
      <c r="AT3" s="23">
        <v>3636.39</v>
      </c>
      <c r="AU3" s="25">
        <v>763.64</v>
      </c>
      <c r="AV3" s="4">
        <f>Table1[[#This Row],[Total fara TVA]]+Table1[[#This Row],[Total TVA]]</f>
        <v>4400.03</v>
      </c>
      <c r="AW3" s="2" t="s">
        <v>57</v>
      </c>
      <c r="AX3" s="2">
        <v>21</v>
      </c>
      <c r="AY3" s="2">
        <v>310344</v>
      </c>
    </row>
    <row r="4" spans="1:53" ht="16.5" x14ac:dyDescent="0.3">
      <c r="A4" s="2" t="s">
        <v>58</v>
      </c>
      <c r="B4" s="15">
        <v>100</v>
      </c>
      <c r="C4" s="2">
        <v>2</v>
      </c>
      <c r="E4" s="20" t="s">
        <v>61</v>
      </c>
      <c r="F4" s="20" t="s">
        <v>61</v>
      </c>
      <c r="G4" s="2">
        <v>380</v>
      </c>
      <c r="Y4" s="18">
        <v>2156.12</v>
      </c>
      <c r="Z4" s="24">
        <v>452.78</v>
      </c>
      <c r="AA4" s="18">
        <v>5725.28</v>
      </c>
      <c r="AC4" s="2">
        <v>0</v>
      </c>
      <c r="AD4" s="2" t="s">
        <v>53</v>
      </c>
      <c r="AE4" s="18">
        <v>5725.28</v>
      </c>
      <c r="AF4" s="2">
        <v>53112</v>
      </c>
      <c r="AG4" s="2">
        <v>0</v>
      </c>
      <c r="AH4" s="2" t="s">
        <v>54</v>
      </c>
      <c r="AI4" s="2" t="s">
        <v>55</v>
      </c>
      <c r="AJ4" s="2" t="s">
        <v>90</v>
      </c>
      <c r="AK4" s="3"/>
      <c r="AL4" s="2" t="s">
        <v>90</v>
      </c>
      <c r="AM4" s="2">
        <v>1</v>
      </c>
      <c r="AS4" s="4">
        <f>Table1[[#This Row],[Total fara TVA]]+Table1[[#This Row],[Total TVA]]</f>
        <v>2608.8999999999996</v>
      </c>
      <c r="AT4" s="18">
        <v>2156.12</v>
      </c>
      <c r="AU4" s="24">
        <v>452.78</v>
      </c>
      <c r="AV4" s="4">
        <f>Table1[[#This Row],[Total fara TVA]]+Table1[[#This Row],[Total TVA]]</f>
        <v>2608.8999999999996</v>
      </c>
      <c r="AW4" s="2" t="s">
        <v>57</v>
      </c>
      <c r="AX4" s="2">
        <v>21</v>
      </c>
      <c r="AY4" s="2">
        <v>310344</v>
      </c>
    </row>
    <row r="5" spans="1:53" ht="16.5" x14ac:dyDescent="0.3">
      <c r="A5" s="2" t="s">
        <v>58</v>
      </c>
      <c r="B5" s="15">
        <v>101</v>
      </c>
      <c r="C5" s="2">
        <v>2</v>
      </c>
      <c r="E5" s="20" t="s">
        <v>62</v>
      </c>
      <c r="F5" s="20" t="s">
        <v>62</v>
      </c>
      <c r="G5" s="2">
        <v>380</v>
      </c>
      <c r="Y5" s="19">
        <v>2788.8</v>
      </c>
      <c r="Z5" s="24">
        <v>585.65</v>
      </c>
      <c r="AA5" s="18">
        <v>6634.78</v>
      </c>
      <c r="AC5" s="2">
        <v>0</v>
      </c>
      <c r="AD5" s="2" t="s">
        <v>53</v>
      </c>
      <c r="AE5" s="18">
        <v>6634.78</v>
      </c>
      <c r="AF5" s="2">
        <v>53112</v>
      </c>
      <c r="AG5" s="2">
        <v>0</v>
      </c>
      <c r="AH5" s="2" t="s">
        <v>54</v>
      </c>
      <c r="AI5" s="2" t="s">
        <v>55</v>
      </c>
      <c r="AJ5" s="2" t="s">
        <v>90</v>
      </c>
      <c r="AK5" s="3"/>
      <c r="AL5" s="2" t="s">
        <v>90</v>
      </c>
      <c r="AM5" s="2">
        <v>1</v>
      </c>
      <c r="AS5" s="4">
        <f>Table1[[#This Row],[Total fara TVA]]+Table1[[#This Row],[Total TVA]]</f>
        <v>3374.4500000000003</v>
      </c>
      <c r="AT5" s="19">
        <v>2788.8</v>
      </c>
      <c r="AU5" s="24">
        <v>585.65</v>
      </c>
      <c r="AV5" s="4">
        <f>Table1[[#This Row],[Total fara TVA]]+Table1[[#This Row],[Total TVA]]</f>
        <v>3374.4500000000003</v>
      </c>
      <c r="AW5" s="2" t="s">
        <v>57</v>
      </c>
      <c r="AX5" s="2">
        <v>21</v>
      </c>
      <c r="AY5" s="2">
        <v>310344</v>
      </c>
    </row>
    <row r="6" spans="1:53" ht="16.5" x14ac:dyDescent="0.3">
      <c r="A6" s="2" t="s">
        <v>58</v>
      </c>
      <c r="B6" s="15">
        <v>102</v>
      </c>
      <c r="C6" s="2">
        <v>2</v>
      </c>
      <c r="E6" s="20" t="s">
        <v>63</v>
      </c>
      <c r="F6" s="20" t="s">
        <v>63</v>
      </c>
      <c r="G6" s="2">
        <v>380</v>
      </c>
      <c r="Y6" s="18">
        <v>2542.31</v>
      </c>
      <c r="Z6" s="24">
        <v>533.89</v>
      </c>
      <c r="AA6" s="18">
        <v>7148.74</v>
      </c>
      <c r="AC6" s="2">
        <v>0</v>
      </c>
      <c r="AD6" s="2" t="s">
        <v>53</v>
      </c>
      <c r="AE6" s="18">
        <v>7148.74</v>
      </c>
      <c r="AF6" s="2">
        <v>53112</v>
      </c>
      <c r="AG6" s="2">
        <v>0</v>
      </c>
      <c r="AH6" s="2" t="s">
        <v>54</v>
      </c>
      <c r="AI6" s="2" t="s">
        <v>55</v>
      </c>
      <c r="AJ6" s="2" t="s">
        <v>90</v>
      </c>
      <c r="AK6" s="3"/>
      <c r="AL6" s="2" t="s">
        <v>90</v>
      </c>
      <c r="AM6" s="2">
        <v>1</v>
      </c>
      <c r="AS6" s="4">
        <f>Table1[[#This Row],[Total fara TVA]]+Table1[[#This Row],[Total TVA]]</f>
        <v>3076.2</v>
      </c>
      <c r="AT6" s="18">
        <v>2542.31</v>
      </c>
      <c r="AU6" s="24">
        <v>533.89</v>
      </c>
      <c r="AV6" s="4">
        <f>Table1[[#This Row],[Total fara TVA]]+Table1[[#This Row],[Total TVA]]</f>
        <v>3076.2</v>
      </c>
      <c r="AW6" s="2" t="s">
        <v>57</v>
      </c>
      <c r="AX6" s="2">
        <v>21</v>
      </c>
      <c r="AY6" s="2">
        <v>310344</v>
      </c>
    </row>
    <row r="7" spans="1:53" ht="16.5" x14ac:dyDescent="0.3">
      <c r="A7" s="2" t="s">
        <v>58</v>
      </c>
      <c r="B7" s="15">
        <v>103</v>
      </c>
      <c r="C7" s="2">
        <v>2</v>
      </c>
      <c r="E7" s="20" t="s">
        <v>64</v>
      </c>
      <c r="F7" s="20" t="s">
        <v>64</v>
      </c>
      <c r="G7" s="2">
        <v>380</v>
      </c>
      <c r="Y7" s="19">
        <v>2362.9</v>
      </c>
      <c r="Z7" s="24">
        <v>496.21</v>
      </c>
      <c r="AA7" s="18">
        <v>6076.08</v>
      </c>
      <c r="AC7" s="2">
        <v>0</v>
      </c>
      <c r="AD7" s="2" t="s">
        <v>53</v>
      </c>
      <c r="AE7" s="18">
        <v>6076.08</v>
      </c>
      <c r="AF7" s="2">
        <v>53112</v>
      </c>
      <c r="AG7" s="2">
        <v>0</v>
      </c>
      <c r="AH7" s="2" t="s">
        <v>54</v>
      </c>
      <c r="AI7" s="2" t="s">
        <v>55</v>
      </c>
      <c r="AJ7" s="2" t="s">
        <v>90</v>
      </c>
      <c r="AK7" s="3"/>
      <c r="AL7" s="2" t="s">
        <v>90</v>
      </c>
      <c r="AM7" s="2">
        <v>1</v>
      </c>
      <c r="AS7" s="4">
        <f>Table1[[#This Row],[Total fara TVA]]+Table1[[#This Row],[Total TVA]]</f>
        <v>2859.11</v>
      </c>
      <c r="AT7" s="19">
        <v>2362.9</v>
      </c>
      <c r="AU7" s="24">
        <v>496.21</v>
      </c>
      <c r="AV7" s="4">
        <f>Table1[[#This Row],[Total fara TVA]]+Table1[[#This Row],[Total TVA]]</f>
        <v>2859.11</v>
      </c>
      <c r="AW7" s="2" t="s">
        <v>57</v>
      </c>
      <c r="AX7" s="2">
        <v>21</v>
      </c>
      <c r="AY7" s="2">
        <v>310344</v>
      </c>
    </row>
    <row r="8" spans="1:53" ht="16.5" x14ac:dyDescent="0.3">
      <c r="A8" s="2" t="s">
        <v>58</v>
      </c>
      <c r="B8" s="15">
        <v>104</v>
      </c>
      <c r="C8" s="2">
        <v>2</v>
      </c>
      <c r="E8" s="20" t="s">
        <v>65</v>
      </c>
      <c r="F8" s="20" t="s">
        <v>65</v>
      </c>
      <c r="G8" s="2">
        <v>380</v>
      </c>
      <c r="Y8" s="19">
        <v>3211.5</v>
      </c>
      <c r="Z8" s="24">
        <v>674.42</v>
      </c>
      <c r="AA8" s="18">
        <v>8438.7900000000009</v>
      </c>
      <c r="AC8" s="2">
        <v>0</v>
      </c>
      <c r="AD8" s="2" t="s">
        <v>53</v>
      </c>
      <c r="AE8" s="18">
        <v>8438.7900000000009</v>
      </c>
      <c r="AF8" s="2">
        <v>53112</v>
      </c>
      <c r="AG8" s="2">
        <v>0</v>
      </c>
      <c r="AH8" s="2" t="s">
        <v>54</v>
      </c>
      <c r="AI8" s="2" t="s">
        <v>55</v>
      </c>
      <c r="AJ8" s="2" t="s">
        <v>90</v>
      </c>
      <c r="AK8" s="3"/>
      <c r="AL8" s="2" t="s">
        <v>90</v>
      </c>
      <c r="AM8" s="2">
        <v>1</v>
      </c>
      <c r="AS8" s="4">
        <f>Table1[[#This Row],[Total fara TVA]]+Table1[[#This Row],[Total TVA]]</f>
        <v>3885.92</v>
      </c>
      <c r="AT8" s="19">
        <v>3211.5</v>
      </c>
      <c r="AU8" s="24">
        <v>674.42</v>
      </c>
      <c r="AV8" s="4">
        <f>Table1[[#This Row],[Total fara TVA]]+Table1[[#This Row],[Total TVA]]</f>
        <v>3885.92</v>
      </c>
      <c r="AW8" s="2" t="s">
        <v>57</v>
      </c>
      <c r="AX8" s="2">
        <v>21</v>
      </c>
      <c r="AY8" s="2">
        <v>310344</v>
      </c>
    </row>
    <row r="9" spans="1:53" ht="16.5" x14ac:dyDescent="0.3">
      <c r="A9" s="2" t="s">
        <v>58</v>
      </c>
      <c r="B9" s="15">
        <v>105</v>
      </c>
      <c r="C9" s="2">
        <v>2</v>
      </c>
      <c r="E9" s="20" t="s">
        <v>66</v>
      </c>
      <c r="F9" s="20" t="s">
        <v>66</v>
      </c>
      <c r="G9" s="2">
        <v>380</v>
      </c>
      <c r="Y9" s="19">
        <v>3020.4</v>
      </c>
      <c r="Z9" s="24">
        <v>634.29</v>
      </c>
      <c r="AA9" s="18">
        <v>7286.79</v>
      </c>
      <c r="AC9" s="2">
        <v>0</v>
      </c>
      <c r="AD9" s="2" t="s">
        <v>53</v>
      </c>
      <c r="AE9" s="18">
        <v>7286.79</v>
      </c>
      <c r="AF9" s="2">
        <v>53112</v>
      </c>
      <c r="AG9" s="2">
        <v>0</v>
      </c>
      <c r="AH9" s="2" t="s">
        <v>54</v>
      </c>
      <c r="AI9" s="2" t="s">
        <v>55</v>
      </c>
      <c r="AJ9" s="2" t="s">
        <v>90</v>
      </c>
      <c r="AK9" s="3"/>
      <c r="AL9" s="2" t="s">
        <v>90</v>
      </c>
      <c r="AM9" s="2">
        <v>1</v>
      </c>
      <c r="AS9" s="4">
        <f>Table1[[#This Row],[Total fara TVA]]+Table1[[#This Row],[Total TVA]]</f>
        <v>3654.69</v>
      </c>
      <c r="AT9" s="19">
        <v>3020.4</v>
      </c>
      <c r="AU9" s="24">
        <v>634.29</v>
      </c>
      <c r="AV9" s="4">
        <f>Table1[[#This Row],[Total fara TVA]]+Table1[[#This Row],[Total TVA]]</f>
        <v>3654.69</v>
      </c>
      <c r="AW9" s="2" t="s">
        <v>57</v>
      </c>
      <c r="AX9" s="2">
        <v>21</v>
      </c>
      <c r="AY9" s="2">
        <v>310344</v>
      </c>
    </row>
    <row r="10" spans="1:53" ht="16.5" x14ac:dyDescent="0.3">
      <c r="A10" s="2" t="s">
        <v>58</v>
      </c>
      <c r="B10" s="15">
        <v>106</v>
      </c>
      <c r="C10" s="2">
        <v>2</v>
      </c>
      <c r="E10" s="20" t="s">
        <v>67</v>
      </c>
      <c r="F10" s="20" t="s">
        <v>67</v>
      </c>
      <c r="G10" s="2">
        <v>380</v>
      </c>
      <c r="Y10" s="19">
        <v>3728.7</v>
      </c>
      <c r="Z10" s="24">
        <v>783.03</v>
      </c>
      <c r="AA10" s="18">
        <v>10100.450000000001</v>
      </c>
      <c r="AC10" s="2">
        <v>0</v>
      </c>
      <c r="AD10" s="2" t="s">
        <v>53</v>
      </c>
      <c r="AE10" s="18">
        <v>10100.450000000001</v>
      </c>
      <c r="AF10" s="2">
        <v>53112</v>
      </c>
      <c r="AG10" s="2">
        <v>0</v>
      </c>
      <c r="AH10" s="2" t="s">
        <v>54</v>
      </c>
      <c r="AI10" s="2" t="s">
        <v>55</v>
      </c>
      <c r="AJ10" s="2" t="s">
        <v>90</v>
      </c>
      <c r="AK10" s="3"/>
      <c r="AL10" s="2" t="s">
        <v>90</v>
      </c>
      <c r="AM10" s="2">
        <v>1</v>
      </c>
      <c r="AS10" s="4">
        <f>Table1[[#This Row],[Total fara TVA]]+Table1[[#This Row],[Total TVA]]</f>
        <v>4511.7299999999996</v>
      </c>
      <c r="AT10" s="19">
        <v>3728.7</v>
      </c>
      <c r="AU10" s="24">
        <v>783.03</v>
      </c>
      <c r="AV10" s="4">
        <f>Table1[[#This Row],[Total fara TVA]]+Table1[[#This Row],[Total TVA]]</f>
        <v>4511.7299999999996</v>
      </c>
      <c r="AW10" s="2" t="s">
        <v>57</v>
      </c>
      <c r="AX10" s="2">
        <v>21</v>
      </c>
      <c r="AY10" s="2">
        <v>310344</v>
      </c>
    </row>
    <row r="11" spans="1:53" ht="16.5" x14ac:dyDescent="0.3">
      <c r="A11" s="2" t="s">
        <v>58</v>
      </c>
      <c r="B11" s="15">
        <v>107</v>
      </c>
      <c r="C11" s="2">
        <v>2</v>
      </c>
      <c r="E11" s="20" t="s">
        <v>68</v>
      </c>
      <c r="F11" s="20" t="s">
        <v>68</v>
      </c>
      <c r="G11" s="2">
        <v>380</v>
      </c>
      <c r="Y11" s="18">
        <v>3972.69</v>
      </c>
      <c r="Z11" s="24">
        <v>834.27</v>
      </c>
      <c r="AA11" s="18">
        <v>8719.94</v>
      </c>
      <c r="AC11" s="2">
        <v>0</v>
      </c>
      <c r="AD11" s="2" t="s">
        <v>53</v>
      </c>
      <c r="AE11" s="18">
        <v>8719.94</v>
      </c>
      <c r="AF11" s="2">
        <v>53112</v>
      </c>
      <c r="AG11" s="2">
        <v>0</v>
      </c>
      <c r="AH11" s="2" t="s">
        <v>54</v>
      </c>
      <c r="AI11" s="2" t="s">
        <v>55</v>
      </c>
      <c r="AJ11" s="2" t="s">
        <v>90</v>
      </c>
      <c r="AK11" s="3"/>
      <c r="AL11" s="2" t="s">
        <v>90</v>
      </c>
      <c r="AM11" s="2">
        <v>1</v>
      </c>
      <c r="AS11" s="4">
        <f>Table1[[#This Row],[Total fara TVA]]+Table1[[#This Row],[Total TVA]]</f>
        <v>4806.96</v>
      </c>
      <c r="AT11" s="18">
        <v>3972.69</v>
      </c>
      <c r="AU11" s="24">
        <v>834.27</v>
      </c>
      <c r="AV11" s="4">
        <f>Table1[[#This Row],[Total fara TVA]]+Table1[[#This Row],[Total TVA]]</f>
        <v>4806.96</v>
      </c>
      <c r="AW11" s="2" t="s">
        <v>57</v>
      </c>
      <c r="AX11" s="2">
        <v>21</v>
      </c>
      <c r="AY11" s="2">
        <v>310344</v>
      </c>
    </row>
    <row r="12" spans="1:53" ht="16.5" x14ac:dyDescent="0.3">
      <c r="A12" s="2" t="s">
        <v>58</v>
      </c>
      <c r="B12" s="15">
        <v>108</v>
      </c>
      <c r="C12" s="2">
        <v>2</v>
      </c>
      <c r="E12" s="20" t="s">
        <v>69</v>
      </c>
      <c r="F12" s="20" t="s">
        <v>69</v>
      </c>
      <c r="G12" s="2">
        <v>380</v>
      </c>
      <c r="Y12" s="18">
        <v>1627.92</v>
      </c>
      <c r="Z12" s="24">
        <v>341.86</v>
      </c>
      <c r="AA12" s="18">
        <v>4614.07</v>
      </c>
      <c r="AC12" s="2">
        <v>0</v>
      </c>
      <c r="AD12" s="2" t="s">
        <v>53</v>
      </c>
      <c r="AE12" s="18">
        <v>4614.07</v>
      </c>
      <c r="AF12" s="2">
        <v>53112</v>
      </c>
      <c r="AG12" s="2">
        <v>0</v>
      </c>
      <c r="AH12" s="2" t="s">
        <v>54</v>
      </c>
      <c r="AI12" s="2" t="s">
        <v>55</v>
      </c>
      <c r="AJ12" s="2" t="s">
        <v>90</v>
      </c>
      <c r="AK12" s="3"/>
      <c r="AL12" s="2" t="s">
        <v>90</v>
      </c>
      <c r="AM12" s="2">
        <v>1</v>
      </c>
      <c r="AS12" s="4">
        <f>Table1[[#This Row],[Total fara TVA]]+Table1[[#This Row],[Total TVA]]</f>
        <v>1969.7800000000002</v>
      </c>
      <c r="AT12" s="18">
        <v>1627.92</v>
      </c>
      <c r="AU12" s="24">
        <v>341.86</v>
      </c>
      <c r="AV12" s="4">
        <f>Table1[[#This Row],[Total fara TVA]]+Table1[[#This Row],[Total TVA]]</f>
        <v>1969.7800000000002</v>
      </c>
      <c r="AW12" s="2" t="s">
        <v>57</v>
      </c>
      <c r="AX12" s="2">
        <v>21</v>
      </c>
      <c r="AY12" s="2">
        <v>310344</v>
      </c>
    </row>
    <row r="13" spans="1:53" ht="16.5" x14ac:dyDescent="0.3">
      <c r="A13" s="2" t="s">
        <v>58</v>
      </c>
      <c r="B13" s="15">
        <v>109</v>
      </c>
      <c r="C13" s="2">
        <v>2</v>
      </c>
      <c r="E13" s="20" t="s">
        <v>70</v>
      </c>
      <c r="F13" s="20" t="s">
        <v>70</v>
      </c>
      <c r="G13" s="2">
        <v>380</v>
      </c>
      <c r="Y13" s="18">
        <v>2193.46</v>
      </c>
      <c r="Z13" s="24">
        <v>460.63</v>
      </c>
      <c r="AA13" s="18">
        <v>5649.96</v>
      </c>
      <c r="AC13" s="2">
        <v>0</v>
      </c>
      <c r="AD13" s="2" t="s">
        <v>53</v>
      </c>
      <c r="AE13" s="18">
        <v>5649.96</v>
      </c>
      <c r="AF13" s="2">
        <v>53112</v>
      </c>
      <c r="AG13" s="2">
        <v>0</v>
      </c>
      <c r="AH13" s="2" t="s">
        <v>54</v>
      </c>
      <c r="AI13" s="2" t="s">
        <v>55</v>
      </c>
      <c r="AJ13" s="2" t="s">
        <v>90</v>
      </c>
      <c r="AK13" s="3"/>
      <c r="AL13" s="2" t="s">
        <v>90</v>
      </c>
      <c r="AM13" s="2">
        <v>1</v>
      </c>
      <c r="AS13" s="4">
        <f>Table1[[#This Row],[Total fara TVA]]+Table1[[#This Row],[Total TVA]]</f>
        <v>2654.09</v>
      </c>
      <c r="AT13" s="18">
        <v>2193.46</v>
      </c>
      <c r="AU13" s="24">
        <v>460.63</v>
      </c>
      <c r="AV13" s="4">
        <f>Table1[[#This Row],[Total fara TVA]]+Table1[[#This Row],[Total TVA]]</f>
        <v>2654.09</v>
      </c>
      <c r="AW13" s="2" t="s">
        <v>57</v>
      </c>
      <c r="AX13" s="2">
        <v>21</v>
      </c>
      <c r="AY13" s="2">
        <v>310344</v>
      </c>
    </row>
    <row r="14" spans="1:53" ht="16.5" x14ac:dyDescent="0.3">
      <c r="A14" s="2" t="s">
        <v>58</v>
      </c>
      <c r="B14" s="15">
        <v>110</v>
      </c>
      <c r="C14" s="2">
        <v>2</v>
      </c>
      <c r="E14" s="20" t="s">
        <v>71</v>
      </c>
      <c r="F14" s="20" t="s">
        <v>71</v>
      </c>
      <c r="G14" s="2">
        <v>380</v>
      </c>
      <c r="Y14" s="18">
        <v>2883.38</v>
      </c>
      <c r="Z14" s="24">
        <v>605.51</v>
      </c>
      <c r="AA14" s="18">
        <v>7230.83</v>
      </c>
      <c r="AC14" s="2">
        <v>0</v>
      </c>
      <c r="AD14" s="2" t="s">
        <v>53</v>
      </c>
      <c r="AE14" s="18">
        <v>7230.83</v>
      </c>
      <c r="AF14" s="2">
        <v>53112</v>
      </c>
      <c r="AG14" s="2">
        <v>0</v>
      </c>
      <c r="AH14" s="2" t="s">
        <v>54</v>
      </c>
      <c r="AI14" s="2" t="s">
        <v>55</v>
      </c>
      <c r="AJ14" s="2" t="s">
        <v>90</v>
      </c>
      <c r="AK14" s="3"/>
      <c r="AL14" s="2" t="s">
        <v>90</v>
      </c>
      <c r="AM14" s="2">
        <v>1</v>
      </c>
      <c r="AS14" s="4">
        <f>Table1[[#This Row],[Total fara TVA]]+Table1[[#This Row],[Total TVA]]</f>
        <v>3488.8900000000003</v>
      </c>
      <c r="AT14" s="18">
        <v>2883.38</v>
      </c>
      <c r="AU14" s="24">
        <v>605.51</v>
      </c>
      <c r="AV14" s="4">
        <f>Table1[[#This Row],[Total fara TVA]]+Table1[[#This Row],[Total TVA]]</f>
        <v>3488.8900000000003</v>
      </c>
      <c r="AW14" s="2" t="s">
        <v>57</v>
      </c>
      <c r="AX14" s="2">
        <v>21</v>
      </c>
      <c r="AY14" s="2">
        <v>310344</v>
      </c>
    </row>
    <row r="15" spans="1:53" ht="16.5" x14ac:dyDescent="0.3">
      <c r="A15" s="2" t="s">
        <v>58</v>
      </c>
      <c r="B15" s="15">
        <v>111</v>
      </c>
      <c r="C15" s="2">
        <v>2</v>
      </c>
      <c r="E15" s="20" t="s">
        <v>72</v>
      </c>
      <c r="F15" s="20" t="s">
        <v>72</v>
      </c>
      <c r="G15" s="2">
        <v>380</v>
      </c>
      <c r="Y15" s="18">
        <v>3991.93</v>
      </c>
      <c r="Z15" s="26">
        <v>838.3</v>
      </c>
      <c r="AA15" s="18">
        <v>11583.65</v>
      </c>
      <c r="AC15" s="2">
        <v>0</v>
      </c>
      <c r="AD15" s="2" t="s">
        <v>53</v>
      </c>
      <c r="AE15" s="18">
        <v>11583.65</v>
      </c>
      <c r="AF15" s="2">
        <v>53112</v>
      </c>
      <c r="AG15" s="2">
        <v>0</v>
      </c>
      <c r="AH15" s="2" t="s">
        <v>54</v>
      </c>
      <c r="AI15" s="2" t="s">
        <v>55</v>
      </c>
      <c r="AJ15" s="2" t="s">
        <v>90</v>
      </c>
      <c r="AK15" s="3"/>
      <c r="AL15" s="2" t="s">
        <v>90</v>
      </c>
      <c r="AM15" s="2">
        <v>1</v>
      </c>
      <c r="AS15" s="4">
        <f>Table1[[#This Row],[Total fara TVA]]+Table1[[#This Row],[Total TVA]]</f>
        <v>4830.2299999999996</v>
      </c>
      <c r="AT15" s="18">
        <v>3991.93</v>
      </c>
      <c r="AU15" s="26">
        <v>838.3</v>
      </c>
      <c r="AV15" s="4">
        <f>Table1[[#This Row],[Total fara TVA]]+Table1[[#This Row],[Total TVA]]</f>
        <v>4830.2299999999996</v>
      </c>
      <c r="AW15" s="2" t="s">
        <v>57</v>
      </c>
      <c r="AX15" s="2">
        <v>21</v>
      </c>
      <c r="AY15" s="2">
        <v>310344</v>
      </c>
    </row>
    <row r="16" spans="1:53" ht="16.5" x14ac:dyDescent="0.3">
      <c r="A16" s="2" t="s">
        <v>58</v>
      </c>
      <c r="B16" s="15">
        <v>112</v>
      </c>
      <c r="C16" s="2">
        <v>2</v>
      </c>
      <c r="E16" s="20" t="s">
        <v>73</v>
      </c>
      <c r="F16" s="20" t="s">
        <v>73</v>
      </c>
      <c r="G16" s="2">
        <v>380</v>
      </c>
      <c r="Y16" s="18">
        <v>3342.86</v>
      </c>
      <c r="Z16" s="15">
        <v>702</v>
      </c>
      <c r="AA16" s="18">
        <v>9096.08</v>
      </c>
      <c r="AC16" s="2">
        <v>0</v>
      </c>
      <c r="AD16" s="2" t="s">
        <v>53</v>
      </c>
      <c r="AE16" s="18">
        <v>9096.08</v>
      </c>
      <c r="AF16" s="2">
        <v>53112</v>
      </c>
      <c r="AG16" s="2">
        <v>0</v>
      </c>
      <c r="AH16" s="2" t="s">
        <v>54</v>
      </c>
      <c r="AI16" s="2" t="s">
        <v>55</v>
      </c>
      <c r="AJ16" s="2" t="s">
        <v>90</v>
      </c>
      <c r="AK16" s="3"/>
      <c r="AL16" s="2" t="s">
        <v>90</v>
      </c>
      <c r="AM16" s="2">
        <v>1</v>
      </c>
      <c r="AS16" s="4">
        <f>Table1[[#This Row],[Total fara TVA]]+Table1[[#This Row],[Total TVA]]</f>
        <v>4044.86</v>
      </c>
      <c r="AT16" s="18">
        <v>3342.86</v>
      </c>
      <c r="AU16" s="15">
        <v>702</v>
      </c>
      <c r="AV16" s="4">
        <f>Table1[[#This Row],[Total fara TVA]]+Table1[[#This Row],[Total TVA]]</f>
        <v>4044.86</v>
      </c>
      <c r="AW16" s="2" t="s">
        <v>57</v>
      </c>
      <c r="AX16" s="2">
        <v>21</v>
      </c>
      <c r="AY16" s="2">
        <v>310344</v>
      </c>
    </row>
    <row r="17" spans="1:51" ht="16.5" x14ac:dyDescent="0.3">
      <c r="A17" s="2" t="s">
        <v>58</v>
      </c>
      <c r="B17" s="15">
        <v>113</v>
      </c>
      <c r="C17" s="2">
        <v>2</v>
      </c>
      <c r="E17" s="20" t="s">
        <v>74</v>
      </c>
      <c r="F17" s="20" t="s">
        <v>74</v>
      </c>
      <c r="G17" s="2">
        <v>380</v>
      </c>
      <c r="Y17" s="19">
        <v>2274.1</v>
      </c>
      <c r="Z17" s="24">
        <v>477.56</v>
      </c>
      <c r="AA17" s="18">
        <v>5039.26</v>
      </c>
      <c r="AC17" s="2">
        <v>0</v>
      </c>
      <c r="AD17" s="2" t="s">
        <v>53</v>
      </c>
      <c r="AE17" s="18">
        <v>5039.26</v>
      </c>
      <c r="AF17" s="2">
        <v>53112</v>
      </c>
      <c r="AG17" s="2">
        <v>0</v>
      </c>
      <c r="AH17" s="2" t="s">
        <v>54</v>
      </c>
      <c r="AI17" s="2" t="s">
        <v>55</v>
      </c>
      <c r="AJ17" s="2" t="s">
        <v>90</v>
      </c>
      <c r="AK17" s="3"/>
      <c r="AL17" s="2" t="s">
        <v>90</v>
      </c>
      <c r="AM17" s="2">
        <v>1</v>
      </c>
      <c r="AS17" s="4">
        <f>Table1[[#This Row],[Total fara TVA]]+Table1[[#This Row],[Total TVA]]</f>
        <v>2751.66</v>
      </c>
      <c r="AT17" s="19">
        <v>2274.1</v>
      </c>
      <c r="AU17" s="24">
        <v>477.56</v>
      </c>
      <c r="AV17" s="4">
        <f>Table1[[#This Row],[Total fara TVA]]+Table1[[#This Row],[Total TVA]]</f>
        <v>2751.66</v>
      </c>
      <c r="AW17" s="2" t="s">
        <v>57</v>
      </c>
      <c r="AX17" s="2">
        <v>21</v>
      </c>
      <c r="AY17" s="2">
        <v>310344</v>
      </c>
    </row>
    <row r="18" spans="1:51" ht="16.5" x14ac:dyDescent="0.3">
      <c r="A18" s="2" t="s">
        <v>58</v>
      </c>
      <c r="B18" s="15">
        <v>114</v>
      </c>
      <c r="C18" s="2">
        <v>2</v>
      </c>
      <c r="E18" s="20" t="s">
        <v>75</v>
      </c>
      <c r="F18" s="20" t="s">
        <v>75</v>
      </c>
      <c r="G18" s="2">
        <v>380</v>
      </c>
      <c r="Y18" s="18">
        <v>2902.47</v>
      </c>
      <c r="Z18" s="24">
        <v>609.52</v>
      </c>
      <c r="AA18" s="18">
        <v>6313.19</v>
      </c>
      <c r="AC18" s="2">
        <v>0</v>
      </c>
      <c r="AD18" s="2" t="s">
        <v>53</v>
      </c>
      <c r="AE18" s="18">
        <v>6313.19</v>
      </c>
      <c r="AF18" s="2">
        <v>53112</v>
      </c>
      <c r="AG18" s="2">
        <v>0</v>
      </c>
      <c r="AH18" s="2" t="s">
        <v>54</v>
      </c>
      <c r="AI18" s="2" t="s">
        <v>55</v>
      </c>
      <c r="AJ18" s="2" t="s">
        <v>90</v>
      </c>
      <c r="AK18" s="3"/>
      <c r="AL18" s="2" t="s">
        <v>90</v>
      </c>
      <c r="AM18" s="2">
        <v>1</v>
      </c>
      <c r="AS18" s="4">
        <f>Table1[[#This Row],[Total fara TVA]]+Table1[[#This Row],[Total TVA]]</f>
        <v>3511.99</v>
      </c>
      <c r="AT18" s="18">
        <v>2902.47</v>
      </c>
      <c r="AU18" s="24">
        <v>609.52</v>
      </c>
      <c r="AV18" s="4">
        <f>Table1[[#This Row],[Total fara TVA]]+Table1[[#This Row],[Total TVA]]</f>
        <v>3511.99</v>
      </c>
      <c r="AW18" s="2" t="s">
        <v>57</v>
      </c>
      <c r="AX18" s="2">
        <v>21</v>
      </c>
      <c r="AY18" s="2">
        <v>310344</v>
      </c>
    </row>
    <row r="19" spans="1:51" ht="16.5" x14ac:dyDescent="0.3">
      <c r="A19" s="2" t="s">
        <v>58</v>
      </c>
      <c r="B19" s="15">
        <v>115</v>
      </c>
      <c r="C19" s="2">
        <v>2</v>
      </c>
      <c r="E19" s="20" t="s">
        <v>76</v>
      </c>
      <c r="F19" s="20" t="s">
        <v>76</v>
      </c>
      <c r="G19" s="2">
        <v>380</v>
      </c>
      <c r="Y19" s="19">
        <v>2968.7</v>
      </c>
      <c r="Z19" s="24">
        <v>623.42999999999995</v>
      </c>
      <c r="AA19" s="18">
        <v>6393.29</v>
      </c>
      <c r="AC19" s="2">
        <v>0</v>
      </c>
      <c r="AD19" s="2" t="s">
        <v>53</v>
      </c>
      <c r="AE19" s="18">
        <v>6393.29</v>
      </c>
      <c r="AF19" s="2">
        <v>53112</v>
      </c>
      <c r="AG19" s="2">
        <v>0</v>
      </c>
      <c r="AH19" s="2" t="s">
        <v>54</v>
      </c>
      <c r="AI19" s="2" t="s">
        <v>55</v>
      </c>
      <c r="AJ19" s="2" t="s">
        <v>90</v>
      </c>
      <c r="AK19" s="3"/>
      <c r="AL19" s="2" t="s">
        <v>90</v>
      </c>
      <c r="AM19" s="2">
        <v>1</v>
      </c>
      <c r="AS19" s="4">
        <f>Table1[[#This Row],[Total fara TVA]]+Table1[[#This Row],[Total TVA]]</f>
        <v>3592.1299999999997</v>
      </c>
      <c r="AT19" s="19">
        <v>2968.7</v>
      </c>
      <c r="AU19" s="24">
        <v>623.42999999999995</v>
      </c>
      <c r="AV19" s="4">
        <f>Table1[[#This Row],[Total fara TVA]]+Table1[[#This Row],[Total TVA]]</f>
        <v>3592.1299999999997</v>
      </c>
      <c r="AW19" s="2" t="s">
        <v>57</v>
      </c>
      <c r="AX19" s="2">
        <v>21</v>
      </c>
      <c r="AY19" s="2">
        <v>310344</v>
      </c>
    </row>
    <row r="20" spans="1:51" ht="16.5" x14ac:dyDescent="0.3">
      <c r="A20" s="2" t="s">
        <v>58</v>
      </c>
      <c r="B20" s="15">
        <v>116</v>
      </c>
      <c r="C20" s="2">
        <v>2</v>
      </c>
      <c r="E20" s="20" t="s">
        <v>77</v>
      </c>
      <c r="F20" s="20" t="s">
        <v>77</v>
      </c>
      <c r="G20" s="2">
        <v>380</v>
      </c>
      <c r="Y20" s="18">
        <v>3130.94</v>
      </c>
      <c r="Z20" s="26">
        <v>657.5</v>
      </c>
      <c r="AA20" s="18">
        <v>7278.16</v>
      </c>
      <c r="AC20" s="2">
        <v>0</v>
      </c>
      <c r="AD20" s="2" t="s">
        <v>53</v>
      </c>
      <c r="AE20" s="18">
        <v>7278.16</v>
      </c>
      <c r="AF20" s="2">
        <v>53112</v>
      </c>
      <c r="AG20" s="2">
        <v>0</v>
      </c>
      <c r="AH20" s="2" t="s">
        <v>54</v>
      </c>
      <c r="AI20" s="2" t="s">
        <v>55</v>
      </c>
      <c r="AJ20" s="2" t="s">
        <v>90</v>
      </c>
      <c r="AK20" s="3"/>
      <c r="AL20" s="2" t="s">
        <v>90</v>
      </c>
      <c r="AM20" s="2">
        <v>1</v>
      </c>
      <c r="AS20" s="4">
        <f>Table1[[#This Row],[Total fara TVA]]+Table1[[#This Row],[Total TVA]]</f>
        <v>3788.44</v>
      </c>
      <c r="AT20" s="18">
        <v>3130.94</v>
      </c>
      <c r="AU20" s="26">
        <v>657.5</v>
      </c>
      <c r="AV20" s="4">
        <f>Table1[[#This Row],[Total fara TVA]]+Table1[[#This Row],[Total TVA]]</f>
        <v>3788.44</v>
      </c>
      <c r="AW20" s="2" t="s">
        <v>57</v>
      </c>
      <c r="AX20" s="2">
        <v>21</v>
      </c>
      <c r="AY20" s="2">
        <v>310344</v>
      </c>
    </row>
    <row r="21" spans="1:51" ht="16.5" x14ac:dyDescent="0.3">
      <c r="A21" s="2" t="s">
        <v>58</v>
      </c>
      <c r="B21" s="15">
        <v>117</v>
      </c>
      <c r="C21" s="2">
        <v>2</v>
      </c>
      <c r="E21" s="20" t="s">
        <v>78</v>
      </c>
      <c r="F21" s="20" t="s">
        <v>78</v>
      </c>
      <c r="G21" s="2">
        <v>380</v>
      </c>
      <c r="Y21" s="19">
        <v>2754.8</v>
      </c>
      <c r="Z21" s="24">
        <v>578.51</v>
      </c>
      <c r="AA21" s="18">
        <v>6214.18</v>
      </c>
      <c r="AC21" s="2">
        <v>0</v>
      </c>
      <c r="AD21" s="2" t="s">
        <v>53</v>
      </c>
      <c r="AE21" s="18">
        <v>6214.18</v>
      </c>
      <c r="AF21" s="2">
        <v>53112</v>
      </c>
      <c r="AG21" s="2">
        <v>0</v>
      </c>
      <c r="AH21" s="2" t="s">
        <v>54</v>
      </c>
      <c r="AI21" s="2" t="s">
        <v>55</v>
      </c>
      <c r="AJ21" s="2" t="s">
        <v>90</v>
      </c>
      <c r="AK21" s="3"/>
      <c r="AL21" s="2" t="s">
        <v>90</v>
      </c>
      <c r="AM21" s="2">
        <v>1</v>
      </c>
      <c r="AS21" s="4">
        <f>Table1[[#This Row],[Total fara TVA]]+Table1[[#This Row],[Total TVA]]</f>
        <v>3333.3100000000004</v>
      </c>
      <c r="AT21" s="19">
        <v>2754.8</v>
      </c>
      <c r="AU21" s="24">
        <v>578.51</v>
      </c>
      <c r="AV21" s="4">
        <f>Table1[[#This Row],[Total fara TVA]]+Table1[[#This Row],[Total TVA]]</f>
        <v>3333.3100000000004</v>
      </c>
      <c r="AW21" s="2" t="s">
        <v>57</v>
      </c>
      <c r="AX21" s="2">
        <v>21</v>
      </c>
      <c r="AY21" s="2">
        <v>310344</v>
      </c>
    </row>
    <row r="22" spans="1:51" ht="16.5" x14ac:dyDescent="0.3">
      <c r="A22" s="2" t="s">
        <v>58</v>
      </c>
      <c r="B22" s="15">
        <v>118</v>
      </c>
      <c r="C22" s="2">
        <v>2</v>
      </c>
      <c r="E22" s="20" t="s">
        <v>79</v>
      </c>
      <c r="F22" s="20" t="s">
        <v>79</v>
      </c>
      <c r="G22" s="2">
        <v>380</v>
      </c>
      <c r="Y22" s="18">
        <v>2696.74</v>
      </c>
      <c r="Z22" s="24">
        <v>566.30999999999995</v>
      </c>
      <c r="AA22" s="18">
        <v>6525.46</v>
      </c>
      <c r="AC22" s="2">
        <v>0</v>
      </c>
      <c r="AD22" s="2" t="s">
        <v>53</v>
      </c>
      <c r="AE22" s="18">
        <v>6525.46</v>
      </c>
      <c r="AF22" s="2">
        <v>53112</v>
      </c>
      <c r="AG22" s="2">
        <v>0</v>
      </c>
      <c r="AH22" s="2" t="s">
        <v>54</v>
      </c>
      <c r="AI22" s="2" t="s">
        <v>55</v>
      </c>
      <c r="AJ22" s="2" t="s">
        <v>90</v>
      </c>
      <c r="AK22" s="3"/>
      <c r="AL22" s="2" t="s">
        <v>90</v>
      </c>
      <c r="AM22" s="2">
        <v>1</v>
      </c>
      <c r="AS22" s="4">
        <f>Table1[[#This Row],[Total fara TVA]]+Table1[[#This Row],[Total TVA]]</f>
        <v>3263.0499999999997</v>
      </c>
      <c r="AT22" s="18">
        <v>2696.74</v>
      </c>
      <c r="AU22" s="24">
        <v>566.30999999999995</v>
      </c>
      <c r="AV22" s="4">
        <f>Table1[[#This Row],[Total fara TVA]]+Table1[[#This Row],[Total TVA]]</f>
        <v>3263.0499999999997</v>
      </c>
      <c r="AW22" s="2" t="s">
        <v>57</v>
      </c>
      <c r="AX22" s="2">
        <v>21</v>
      </c>
      <c r="AY22" s="2">
        <v>310344</v>
      </c>
    </row>
    <row r="23" spans="1:51" ht="16.5" x14ac:dyDescent="0.3">
      <c r="A23" s="2" t="s">
        <v>58</v>
      </c>
      <c r="B23" s="15">
        <v>119</v>
      </c>
      <c r="C23" s="2">
        <v>2</v>
      </c>
      <c r="E23" s="20" t="s">
        <v>80</v>
      </c>
      <c r="F23" s="20" t="s">
        <v>80</v>
      </c>
      <c r="G23" s="2">
        <v>380</v>
      </c>
      <c r="Y23" s="18">
        <v>3626.33</v>
      </c>
      <c r="Z23" s="24">
        <v>761.53</v>
      </c>
      <c r="AA23" s="18">
        <v>8523.08</v>
      </c>
      <c r="AC23" s="2">
        <v>0</v>
      </c>
      <c r="AD23" s="2" t="s">
        <v>53</v>
      </c>
      <c r="AE23" s="18">
        <v>8523.08</v>
      </c>
      <c r="AF23" s="2">
        <v>53112</v>
      </c>
      <c r="AG23" s="2">
        <v>0</v>
      </c>
      <c r="AH23" s="2" t="s">
        <v>54</v>
      </c>
      <c r="AI23" s="2" t="s">
        <v>55</v>
      </c>
      <c r="AJ23" s="2" t="s">
        <v>90</v>
      </c>
      <c r="AK23" s="3"/>
      <c r="AL23" s="2" t="s">
        <v>90</v>
      </c>
      <c r="AM23" s="2">
        <v>1</v>
      </c>
      <c r="AS23" s="4">
        <f>Table1[[#This Row],[Total fara TVA]]+Table1[[#This Row],[Total TVA]]</f>
        <v>4387.8599999999997</v>
      </c>
      <c r="AT23" s="18">
        <v>3626.33</v>
      </c>
      <c r="AU23" s="24">
        <v>761.53</v>
      </c>
      <c r="AV23" s="4">
        <f>Table1[[#This Row],[Total fara TVA]]+Table1[[#This Row],[Total TVA]]</f>
        <v>4387.8599999999997</v>
      </c>
      <c r="AW23" s="2" t="s">
        <v>57</v>
      </c>
      <c r="AX23" s="2">
        <v>21</v>
      </c>
      <c r="AY23" s="2">
        <v>310344</v>
      </c>
    </row>
    <row r="24" spans="1:51" ht="16.5" x14ac:dyDescent="0.3">
      <c r="A24" s="2" t="s">
        <v>58</v>
      </c>
      <c r="B24" s="15">
        <v>120</v>
      </c>
      <c r="C24" s="2">
        <v>2</v>
      </c>
      <c r="E24" s="20" t="s">
        <v>81</v>
      </c>
      <c r="F24" s="20" t="s">
        <v>81</v>
      </c>
      <c r="G24" s="2">
        <v>380</v>
      </c>
      <c r="Y24" s="18">
        <v>3052.96</v>
      </c>
      <c r="Z24" s="24">
        <v>641.12</v>
      </c>
      <c r="AA24" s="18">
        <v>7815.63</v>
      </c>
      <c r="AC24" s="2">
        <v>0</v>
      </c>
      <c r="AD24" s="2" t="s">
        <v>53</v>
      </c>
      <c r="AE24" s="18">
        <v>7815.63</v>
      </c>
      <c r="AF24" s="2">
        <v>53112</v>
      </c>
      <c r="AG24" s="2">
        <v>0</v>
      </c>
      <c r="AH24" s="2" t="s">
        <v>54</v>
      </c>
      <c r="AI24" s="2" t="s">
        <v>55</v>
      </c>
      <c r="AJ24" s="2" t="s">
        <v>90</v>
      </c>
      <c r="AK24" s="3"/>
      <c r="AL24" s="2" t="s">
        <v>90</v>
      </c>
      <c r="AM24" s="2">
        <v>1</v>
      </c>
      <c r="AS24" s="4">
        <f>Table1[[#This Row],[Total fara TVA]]+Table1[[#This Row],[Total TVA]]</f>
        <v>3694.08</v>
      </c>
      <c r="AT24" s="18">
        <v>3052.96</v>
      </c>
      <c r="AU24" s="24">
        <v>641.12</v>
      </c>
      <c r="AV24" s="4">
        <f>Table1[[#This Row],[Total fara TVA]]+Table1[[#This Row],[Total TVA]]</f>
        <v>3694.08</v>
      </c>
      <c r="AW24" s="2" t="s">
        <v>57</v>
      </c>
      <c r="AX24" s="2">
        <v>21</v>
      </c>
      <c r="AY24" s="2">
        <v>310344</v>
      </c>
    </row>
    <row r="25" spans="1:51" ht="16.5" x14ac:dyDescent="0.3">
      <c r="A25" s="2" t="s">
        <v>58</v>
      </c>
      <c r="B25" s="15">
        <v>121</v>
      </c>
      <c r="C25" s="2">
        <v>2</v>
      </c>
      <c r="E25" s="20" t="s">
        <v>82</v>
      </c>
      <c r="F25" s="20" t="s">
        <v>82</v>
      </c>
      <c r="G25" s="2">
        <v>380</v>
      </c>
      <c r="Y25" s="18">
        <v>2534.69</v>
      </c>
      <c r="Z25" s="24">
        <v>532.28</v>
      </c>
      <c r="AA25" s="18">
        <v>6895.76</v>
      </c>
      <c r="AC25" s="2">
        <v>0</v>
      </c>
      <c r="AD25" s="2" t="s">
        <v>53</v>
      </c>
      <c r="AE25" s="18">
        <v>6895.76</v>
      </c>
      <c r="AF25" s="2">
        <v>53112</v>
      </c>
      <c r="AG25" s="2">
        <v>0</v>
      </c>
      <c r="AH25" s="2" t="s">
        <v>54</v>
      </c>
      <c r="AI25" s="2" t="s">
        <v>55</v>
      </c>
      <c r="AJ25" s="2" t="s">
        <v>90</v>
      </c>
      <c r="AK25" s="3"/>
      <c r="AL25" s="2" t="s">
        <v>90</v>
      </c>
      <c r="AM25" s="2">
        <v>1</v>
      </c>
      <c r="AS25" s="4">
        <f>Table1[[#This Row],[Total fara TVA]]+Table1[[#This Row],[Total TVA]]</f>
        <v>3066.9700000000003</v>
      </c>
      <c r="AT25" s="18">
        <v>2534.69</v>
      </c>
      <c r="AU25" s="24">
        <v>532.28</v>
      </c>
      <c r="AV25" s="4">
        <f>Table1[[#This Row],[Total fara TVA]]+Table1[[#This Row],[Total TVA]]</f>
        <v>3066.9700000000003</v>
      </c>
      <c r="AW25" s="2" t="s">
        <v>57</v>
      </c>
      <c r="AX25" s="2">
        <v>21</v>
      </c>
      <c r="AY25" s="2">
        <v>310344</v>
      </c>
    </row>
    <row r="26" spans="1:51" ht="16.5" x14ac:dyDescent="0.3">
      <c r="A26" s="2" t="s">
        <v>58</v>
      </c>
      <c r="B26" s="15">
        <v>122</v>
      </c>
      <c r="C26" s="2">
        <v>2</v>
      </c>
      <c r="E26" s="20" t="s">
        <v>83</v>
      </c>
      <c r="F26" s="20" t="s">
        <v>83</v>
      </c>
      <c r="G26" s="2">
        <v>380</v>
      </c>
      <c r="Y26" s="18">
        <v>3538.93</v>
      </c>
      <c r="Z26" s="24">
        <v>743.18</v>
      </c>
      <c r="AA26" s="18">
        <v>7541.19</v>
      </c>
      <c r="AC26" s="2">
        <v>0</v>
      </c>
      <c r="AD26" s="2" t="s">
        <v>53</v>
      </c>
      <c r="AE26" s="18">
        <v>7541.19</v>
      </c>
      <c r="AF26" s="2">
        <v>53112</v>
      </c>
      <c r="AG26" s="2">
        <v>0</v>
      </c>
      <c r="AH26" s="2" t="s">
        <v>54</v>
      </c>
      <c r="AI26" s="2" t="s">
        <v>55</v>
      </c>
      <c r="AJ26" s="2" t="s">
        <v>90</v>
      </c>
      <c r="AK26" s="3"/>
      <c r="AL26" s="2" t="s">
        <v>90</v>
      </c>
      <c r="AM26" s="2">
        <v>1</v>
      </c>
      <c r="AS26" s="4">
        <f>Table1[[#This Row],[Total fara TVA]]+Table1[[#This Row],[Total TVA]]</f>
        <v>4282.1099999999997</v>
      </c>
      <c r="AT26" s="18">
        <v>3538.93</v>
      </c>
      <c r="AU26" s="24">
        <v>743.18</v>
      </c>
      <c r="AV26" s="4">
        <f>Table1[[#This Row],[Total fara TVA]]+Table1[[#This Row],[Total TVA]]</f>
        <v>4282.1099999999997</v>
      </c>
      <c r="AW26" s="2" t="s">
        <v>57</v>
      </c>
      <c r="AX26" s="2">
        <v>21</v>
      </c>
      <c r="AY26" s="2">
        <v>310344</v>
      </c>
    </row>
    <row r="27" spans="1:51" ht="16.5" x14ac:dyDescent="0.3">
      <c r="A27" s="2" t="s">
        <v>58</v>
      </c>
      <c r="B27" s="15">
        <v>123</v>
      </c>
      <c r="C27" s="2">
        <v>2</v>
      </c>
      <c r="E27" s="20" t="s">
        <v>84</v>
      </c>
      <c r="F27" s="20" t="s">
        <v>84</v>
      </c>
      <c r="G27" s="2">
        <v>380</v>
      </c>
      <c r="Y27" s="18">
        <v>2730.93</v>
      </c>
      <c r="Z27" s="24">
        <v>573.49</v>
      </c>
      <c r="AA27" s="18">
        <v>6257.35</v>
      </c>
      <c r="AC27" s="2">
        <v>0</v>
      </c>
      <c r="AD27" s="2" t="s">
        <v>53</v>
      </c>
      <c r="AE27" s="18">
        <v>6257.35</v>
      </c>
      <c r="AF27" s="2">
        <v>53112</v>
      </c>
      <c r="AG27" s="2">
        <v>0</v>
      </c>
      <c r="AH27" s="2" t="s">
        <v>54</v>
      </c>
      <c r="AI27" s="2" t="s">
        <v>55</v>
      </c>
      <c r="AJ27" s="2" t="s">
        <v>90</v>
      </c>
      <c r="AK27" s="3"/>
      <c r="AL27" s="2" t="s">
        <v>90</v>
      </c>
      <c r="AM27" s="2">
        <v>1</v>
      </c>
      <c r="AS27" s="4">
        <f>Table1[[#This Row],[Total fara TVA]]+Table1[[#This Row],[Total TVA]]</f>
        <v>3304.42</v>
      </c>
      <c r="AT27" s="18">
        <v>2730.93</v>
      </c>
      <c r="AU27" s="24">
        <v>573.49</v>
      </c>
      <c r="AV27" s="4">
        <f>Table1[[#This Row],[Total fara TVA]]+Table1[[#This Row],[Total TVA]]</f>
        <v>3304.42</v>
      </c>
      <c r="AW27" s="2" t="s">
        <v>57</v>
      </c>
      <c r="AX27" s="2">
        <v>21</v>
      </c>
      <c r="AY27" s="2">
        <v>310344</v>
      </c>
    </row>
    <row r="28" spans="1:51" ht="16.5" x14ac:dyDescent="0.3">
      <c r="A28" s="2" t="s">
        <v>58</v>
      </c>
      <c r="B28" s="15">
        <v>124</v>
      </c>
      <c r="C28" s="2">
        <v>2</v>
      </c>
      <c r="E28" s="20" t="s">
        <v>85</v>
      </c>
      <c r="F28" s="20" t="s">
        <v>85</v>
      </c>
      <c r="G28" s="2">
        <v>380</v>
      </c>
      <c r="Y28" s="18">
        <v>2181.62</v>
      </c>
      <c r="Z28" s="24">
        <v>458.14</v>
      </c>
      <c r="AA28" s="18">
        <v>5793.67</v>
      </c>
      <c r="AC28" s="2">
        <v>0</v>
      </c>
      <c r="AD28" s="2" t="s">
        <v>53</v>
      </c>
      <c r="AE28" s="18">
        <v>5793.67</v>
      </c>
      <c r="AF28" s="2">
        <v>53112</v>
      </c>
      <c r="AG28" s="2">
        <v>0</v>
      </c>
      <c r="AH28" s="2" t="s">
        <v>54</v>
      </c>
      <c r="AI28" s="2" t="s">
        <v>55</v>
      </c>
      <c r="AJ28" s="2" t="s">
        <v>90</v>
      </c>
      <c r="AK28" s="3"/>
      <c r="AL28" s="2" t="s">
        <v>90</v>
      </c>
      <c r="AM28" s="2">
        <v>1</v>
      </c>
      <c r="AS28" s="4">
        <f>Table1[[#This Row],[Total fara TVA]]+Table1[[#This Row],[Total TVA]]</f>
        <v>2639.7599999999998</v>
      </c>
      <c r="AT28" s="18">
        <v>2181.62</v>
      </c>
      <c r="AU28" s="24">
        <v>458.14</v>
      </c>
      <c r="AV28" s="4">
        <f>Table1[[#This Row],[Total fara TVA]]+Table1[[#This Row],[Total TVA]]</f>
        <v>2639.7599999999998</v>
      </c>
      <c r="AW28" s="2" t="s">
        <v>57</v>
      </c>
      <c r="AX28" s="2">
        <v>21</v>
      </c>
      <c r="AY28" s="2">
        <v>310344</v>
      </c>
    </row>
    <row r="29" spans="1:51" s="10" customFormat="1" ht="16.5" x14ac:dyDescent="0.3">
      <c r="A29" s="2" t="s">
        <v>58</v>
      </c>
      <c r="B29" s="15">
        <v>125</v>
      </c>
      <c r="C29" s="9">
        <v>2</v>
      </c>
      <c r="E29" s="20" t="s">
        <v>86</v>
      </c>
      <c r="F29" s="20" t="s">
        <v>86</v>
      </c>
      <c r="G29" s="9">
        <v>380</v>
      </c>
      <c r="Y29" s="18">
        <v>2559.4499999999998</v>
      </c>
      <c r="Z29" s="24">
        <v>537.48</v>
      </c>
      <c r="AA29" s="18">
        <v>6335.38</v>
      </c>
      <c r="AC29" s="9">
        <v>0</v>
      </c>
      <c r="AD29" s="9" t="s">
        <v>53</v>
      </c>
      <c r="AE29" s="18">
        <v>6335.38</v>
      </c>
      <c r="AF29" s="9">
        <v>53112</v>
      </c>
      <c r="AG29" s="9">
        <v>0</v>
      </c>
      <c r="AH29" s="9" t="s">
        <v>54</v>
      </c>
      <c r="AI29" s="9" t="s">
        <v>55</v>
      </c>
      <c r="AJ29" s="2" t="s">
        <v>90</v>
      </c>
      <c r="AK29" s="11"/>
      <c r="AL29" s="2" t="s">
        <v>90</v>
      </c>
      <c r="AM29" s="9">
        <v>1</v>
      </c>
      <c r="AS29" s="12">
        <f>Table1[[#This Row],[Total fara TVA]]+Table1[[#This Row],[Total TVA]]</f>
        <v>3096.93</v>
      </c>
      <c r="AT29" s="18">
        <v>2559.4499999999998</v>
      </c>
      <c r="AU29" s="24">
        <v>537.48</v>
      </c>
      <c r="AV29" s="12">
        <f>Table1[[#This Row],[Total fara TVA]]+Table1[[#This Row],[Total TVA]]</f>
        <v>3096.93</v>
      </c>
      <c r="AW29" s="9" t="s">
        <v>57</v>
      </c>
      <c r="AX29" s="2">
        <v>21</v>
      </c>
      <c r="AY29" s="2">
        <v>310344</v>
      </c>
    </row>
    <row r="30" spans="1:51" ht="16.5" x14ac:dyDescent="0.3">
      <c r="A30" s="2" t="s">
        <v>58</v>
      </c>
      <c r="B30" s="15">
        <v>126</v>
      </c>
      <c r="C30" s="2">
        <v>2</v>
      </c>
      <c r="D30" s="2"/>
      <c r="E30" s="20" t="s">
        <v>87</v>
      </c>
      <c r="F30" s="20" t="s">
        <v>87</v>
      </c>
      <c r="G30" s="2">
        <v>380</v>
      </c>
      <c r="Y30" s="19">
        <v>3951.8</v>
      </c>
      <c r="Z30" s="24">
        <v>829.88</v>
      </c>
      <c r="AA30" s="18">
        <v>9445.43</v>
      </c>
      <c r="AC30" s="2">
        <v>0</v>
      </c>
      <c r="AD30" s="2" t="s">
        <v>53</v>
      </c>
      <c r="AE30" s="18">
        <v>9445.43</v>
      </c>
      <c r="AF30" s="2">
        <v>53112</v>
      </c>
      <c r="AG30" s="2">
        <v>0</v>
      </c>
      <c r="AH30" s="2" t="s">
        <v>54</v>
      </c>
      <c r="AI30" s="2" t="s">
        <v>55</v>
      </c>
      <c r="AJ30" s="2" t="s">
        <v>90</v>
      </c>
      <c r="AK30" s="3"/>
      <c r="AL30" s="2" t="s">
        <v>90</v>
      </c>
      <c r="AM30" s="2">
        <v>1</v>
      </c>
      <c r="AS30" s="5">
        <f>Table1[[#This Row],[Total fara TVA]]+Table1[[#This Row],[Total TVA]]</f>
        <v>4781.68</v>
      </c>
      <c r="AT30" s="19">
        <v>3951.8</v>
      </c>
      <c r="AU30" s="24">
        <v>829.88</v>
      </c>
      <c r="AV30" s="4">
        <f>Table1[[#This Row],[Total fara TVA]]+Table1[[#This Row],[Total TVA]]</f>
        <v>4781.68</v>
      </c>
      <c r="AW30" s="2" t="s">
        <v>57</v>
      </c>
      <c r="AX30" s="2">
        <v>21</v>
      </c>
      <c r="AY30" s="2">
        <v>310344</v>
      </c>
    </row>
    <row r="31" spans="1:51" ht="16.5" x14ac:dyDescent="0.3">
      <c r="A31" s="2" t="s">
        <v>58</v>
      </c>
      <c r="B31" s="15">
        <v>127</v>
      </c>
      <c r="C31" s="2">
        <v>2</v>
      </c>
      <c r="E31" s="20" t="s">
        <v>88</v>
      </c>
      <c r="F31" s="20" t="s">
        <v>88</v>
      </c>
      <c r="G31" s="2">
        <v>380</v>
      </c>
      <c r="Y31" s="18">
        <v>2870.07</v>
      </c>
      <c r="Z31" s="24">
        <v>602.72</v>
      </c>
      <c r="AA31" s="18">
        <v>8291.83</v>
      </c>
      <c r="AC31" s="2">
        <v>0</v>
      </c>
      <c r="AD31" s="2" t="s">
        <v>53</v>
      </c>
      <c r="AE31" s="18">
        <v>8291.83</v>
      </c>
      <c r="AF31" s="2">
        <v>53112</v>
      </c>
      <c r="AG31" s="2">
        <v>0</v>
      </c>
      <c r="AH31" s="2" t="s">
        <v>54</v>
      </c>
      <c r="AI31" s="2" t="s">
        <v>55</v>
      </c>
      <c r="AJ31" s="2" t="s">
        <v>90</v>
      </c>
      <c r="AK31" s="11"/>
      <c r="AL31" s="2" t="s">
        <v>90</v>
      </c>
      <c r="AM31" s="2">
        <v>1</v>
      </c>
      <c r="AS31" s="5">
        <f>Table1[[#This Row],[Total fara TVA]]+Table1[[#This Row],[Total TVA]]</f>
        <v>3472.79</v>
      </c>
      <c r="AT31" s="18">
        <v>2870.07</v>
      </c>
      <c r="AU31" s="24">
        <v>602.72</v>
      </c>
      <c r="AV31" s="4">
        <f>Table1[[#This Row],[Total fara TVA]]+Table1[[#This Row],[Total TVA]]</f>
        <v>3472.79</v>
      </c>
      <c r="AW31" s="2" t="s">
        <v>57</v>
      </c>
      <c r="AX31" s="2">
        <v>21</v>
      </c>
      <c r="AY31" s="2">
        <v>310344</v>
      </c>
    </row>
    <row r="32" spans="1:51" s="7" customFormat="1" ht="16.5" x14ac:dyDescent="0.3">
      <c r="A32" s="6" t="s">
        <v>58</v>
      </c>
      <c r="B32" s="15">
        <v>128</v>
      </c>
      <c r="C32" s="6">
        <v>2</v>
      </c>
      <c r="E32" s="20" t="s">
        <v>89</v>
      </c>
      <c r="F32" s="20" t="s">
        <v>89</v>
      </c>
      <c r="G32" s="6">
        <v>380</v>
      </c>
      <c r="Y32" s="18">
        <v>2689.65</v>
      </c>
      <c r="Z32" s="24">
        <v>564.83000000000004</v>
      </c>
      <c r="AA32" s="18">
        <v>6047.22</v>
      </c>
      <c r="AC32" s="6">
        <v>0</v>
      </c>
      <c r="AD32" s="6" t="s">
        <v>53</v>
      </c>
      <c r="AE32" s="18">
        <v>6047.22</v>
      </c>
      <c r="AF32" s="6">
        <v>53112</v>
      </c>
      <c r="AG32" s="6">
        <v>0</v>
      </c>
      <c r="AH32" s="6" t="s">
        <v>54</v>
      </c>
      <c r="AI32" s="6" t="s">
        <v>55</v>
      </c>
      <c r="AJ32" s="2" t="s">
        <v>91</v>
      </c>
      <c r="AK32" s="13"/>
      <c r="AL32" s="2" t="s">
        <v>91</v>
      </c>
      <c r="AM32" s="6">
        <v>1</v>
      </c>
      <c r="AS32" s="16">
        <f>Table1[[#This Row],[Total fara TVA]]+Table1[[#This Row],[Total TVA]]</f>
        <v>3254.48</v>
      </c>
      <c r="AT32" s="18">
        <v>2689.65</v>
      </c>
      <c r="AU32" s="24">
        <v>564.83000000000004</v>
      </c>
      <c r="AV32" s="8">
        <f>Table1[[#This Row],[Total fara TVA]]+Table1[[#This Row],[Total TVA]]</f>
        <v>3254.48</v>
      </c>
      <c r="AW32" s="6" t="s">
        <v>57</v>
      </c>
      <c r="AX32" s="2">
        <v>11</v>
      </c>
      <c r="AY32" s="34">
        <v>310351</v>
      </c>
    </row>
    <row r="33" spans="1:51" ht="16.5" x14ac:dyDescent="0.3">
      <c r="A33" s="2" t="s">
        <v>58</v>
      </c>
      <c r="B33" s="35">
        <v>98</v>
      </c>
      <c r="C33" s="2">
        <v>2</v>
      </c>
      <c r="E33" s="21" t="s">
        <v>59</v>
      </c>
      <c r="F33" s="21" t="s">
        <v>59</v>
      </c>
      <c r="G33" s="2">
        <v>380</v>
      </c>
      <c r="Y33" s="28">
        <v>4757.97</v>
      </c>
      <c r="Z33" s="14">
        <v>523.38</v>
      </c>
      <c r="AA33" s="32">
        <v>10029.84</v>
      </c>
      <c r="AC33" s="2">
        <v>0</v>
      </c>
      <c r="AD33" s="2" t="s">
        <v>53</v>
      </c>
      <c r="AE33" s="32">
        <v>10029.84</v>
      </c>
      <c r="AF33" s="2">
        <v>53112</v>
      </c>
      <c r="AG33" s="2">
        <v>0</v>
      </c>
      <c r="AH33" s="2" t="s">
        <v>54</v>
      </c>
      <c r="AI33" s="2" t="s">
        <v>55</v>
      </c>
      <c r="AJ33" s="2" t="s">
        <v>91</v>
      </c>
      <c r="AK33" s="3"/>
      <c r="AL33" s="2" t="s">
        <v>91</v>
      </c>
      <c r="AM33" s="2">
        <v>1</v>
      </c>
      <c r="AS33" s="5">
        <f>Table1[[#This Row],[Total fara TVA]]+Table1[[#This Row],[Total TVA]]</f>
        <v>5281.35</v>
      </c>
      <c r="AT33" s="28">
        <v>4757.97</v>
      </c>
      <c r="AU33" s="14">
        <v>523.38</v>
      </c>
      <c r="AV33" s="4">
        <f>Table1[[#This Row],[Total fara TVA]]+Table1[[#This Row],[Total TVA]]</f>
        <v>5281.35</v>
      </c>
      <c r="AW33" s="2" t="s">
        <v>57</v>
      </c>
      <c r="AX33" s="2">
        <v>11</v>
      </c>
      <c r="AY33" s="34">
        <v>310351</v>
      </c>
    </row>
    <row r="34" spans="1:51" ht="16.5" x14ac:dyDescent="0.3">
      <c r="A34" s="2" t="s">
        <v>58</v>
      </c>
      <c r="B34" s="36">
        <v>99</v>
      </c>
      <c r="C34" s="2">
        <v>2</v>
      </c>
      <c r="E34" s="22" t="s">
        <v>60</v>
      </c>
      <c r="F34" s="22" t="s">
        <v>60</v>
      </c>
      <c r="G34" s="2">
        <v>380</v>
      </c>
      <c r="Y34" s="29">
        <v>5329.41</v>
      </c>
      <c r="Z34" s="27">
        <v>586.24</v>
      </c>
      <c r="AA34" s="33">
        <v>10315.68</v>
      </c>
      <c r="AC34" s="2">
        <v>0</v>
      </c>
      <c r="AD34" s="2" t="s">
        <v>53</v>
      </c>
      <c r="AE34" s="33">
        <v>10315.68</v>
      </c>
      <c r="AF34" s="2">
        <v>53112</v>
      </c>
      <c r="AG34" s="2">
        <v>0</v>
      </c>
      <c r="AH34" s="2" t="s">
        <v>54</v>
      </c>
      <c r="AI34" s="2" t="s">
        <v>55</v>
      </c>
      <c r="AJ34" s="2" t="s">
        <v>91</v>
      </c>
      <c r="AK34" s="3"/>
      <c r="AL34" s="2" t="s">
        <v>91</v>
      </c>
      <c r="AM34" s="2">
        <v>1</v>
      </c>
      <c r="AS34" s="5">
        <f>Table1[[#This Row],[Total fara TVA]]+Table1[[#This Row],[Total TVA]]</f>
        <v>5915.65</v>
      </c>
      <c r="AT34" s="29">
        <v>5329.41</v>
      </c>
      <c r="AU34" s="27">
        <v>586.24</v>
      </c>
      <c r="AV34" s="4">
        <f>Table1[[#This Row],[Total fara TVA]]+Table1[[#This Row],[Total TVA]]</f>
        <v>5915.65</v>
      </c>
      <c r="AW34" s="2" t="s">
        <v>57</v>
      </c>
      <c r="AX34" s="2">
        <v>11</v>
      </c>
      <c r="AY34" s="34">
        <v>310351</v>
      </c>
    </row>
    <row r="35" spans="1:51" ht="16.5" x14ac:dyDescent="0.3">
      <c r="A35" s="2" t="s">
        <v>58</v>
      </c>
      <c r="B35" s="15">
        <v>100</v>
      </c>
      <c r="C35" s="2">
        <v>2</v>
      </c>
      <c r="E35" s="20" t="s">
        <v>61</v>
      </c>
      <c r="F35" s="20" t="s">
        <v>61</v>
      </c>
      <c r="G35" s="2">
        <v>380</v>
      </c>
      <c r="Y35" s="30">
        <v>2807.55</v>
      </c>
      <c r="Z35" s="14">
        <v>308.83</v>
      </c>
      <c r="AA35" s="18">
        <v>5725.28</v>
      </c>
      <c r="AC35" s="2">
        <v>0</v>
      </c>
      <c r="AD35" s="2" t="s">
        <v>53</v>
      </c>
      <c r="AE35" s="18">
        <v>5725.28</v>
      </c>
      <c r="AF35" s="2">
        <v>53112</v>
      </c>
      <c r="AG35" s="2">
        <v>0</v>
      </c>
      <c r="AH35" s="2" t="s">
        <v>54</v>
      </c>
      <c r="AI35" s="2" t="s">
        <v>55</v>
      </c>
      <c r="AJ35" s="2" t="s">
        <v>91</v>
      </c>
      <c r="AK35" s="3"/>
      <c r="AL35" s="2" t="s">
        <v>91</v>
      </c>
      <c r="AM35" s="2">
        <v>1</v>
      </c>
      <c r="AS35" s="5">
        <f>Table1[[#This Row],[Total fara TVA]]+Table1[[#This Row],[Total TVA]]</f>
        <v>3116.38</v>
      </c>
      <c r="AT35" s="30">
        <v>2807.55</v>
      </c>
      <c r="AU35" s="14">
        <v>308.83</v>
      </c>
      <c r="AV35" s="4">
        <f>Table1[[#This Row],[Total fara TVA]]+Table1[[#This Row],[Total TVA]]</f>
        <v>3116.38</v>
      </c>
      <c r="AW35" s="2" t="s">
        <v>57</v>
      </c>
      <c r="AX35" s="2">
        <v>11</v>
      </c>
      <c r="AY35" s="34">
        <v>310351</v>
      </c>
    </row>
    <row r="36" spans="1:51" ht="16.5" x14ac:dyDescent="0.3">
      <c r="A36" s="2" t="s">
        <v>58</v>
      </c>
      <c r="B36" s="15">
        <v>101</v>
      </c>
      <c r="C36" s="2">
        <v>2</v>
      </c>
      <c r="E36" s="20" t="s">
        <v>62</v>
      </c>
      <c r="F36" s="20" t="s">
        <v>62</v>
      </c>
      <c r="G36" s="2">
        <v>380</v>
      </c>
      <c r="Y36" s="30">
        <v>2937.23</v>
      </c>
      <c r="Z36" s="17">
        <v>323.10000000000002</v>
      </c>
      <c r="AA36" s="18">
        <v>6634.78</v>
      </c>
      <c r="AC36" s="2">
        <v>0</v>
      </c>
      <c r="AD36" s="2" t="s">
        <v>53</v>
      </c>
      <c r="AE36" s="18">
        <v>6634.78</v>
      </c>
      <c r="AF36" s="2">
        <v>53112</v>
      </c>
      <c r="AG36" s="2">
        <v>0</v>
      </c>
      <c r="AH36" s="2" t="s">
        <v>54</v>
      </c>
      <c r="AI36" s="2" t="s">
        <v>55</v>
      </c>
      <c r="AJ36" s="2" t="s">
        <v>91</v>
      </c>
      <c r="AK36" s="3"/>
      <c r="AL36" s="2" t="s">
        <v>91</v>
      </c>
      <c r="AM36" s="2">
        <v>1</v>
      </c>
      <c r="AS36" s="5">
        <f>Table1[[#This Row],[Total fara TVA]]+Table1[[#This Row],[Total TVA]]</f>
        <v>3260.33</v>
      </c>
      <c r="AT36" s="30">
        <v>2937.23</v>
      </c>
      <c r="AU36" s="17">
        <v>323.10000000000002</v>
      </c>
      <c r="AV36" s="4">
        <f>Table1[[#This Row],[Total fara TVA]]+Table1[[#This Row],[Total TVA]]</f>
        <v>3260.33</v>
      </c>
      <c r="AW36" s="2" t="s">
        <v>57</v>
      </c>
      <c r="AX36" s="2">
        <v>11</v>
      </c>
      <c r="AY36" s="34">
        <v>310351</v>
      </c>
    </row>
    <row r="37" spans="1:51" ht="16.5" x14ac:dyDescent="0.3">
      <c r="A37" s="2" t="s">
        <v>58</v>
      </c>
      <c r="B37" s="15">
        <v>102</v>
      </c>
      <c r="C37" s="2">
        <v>2</v>
      </c>
      <c r="E37" s="20" t="s">
        <v>63</v>
      </c>
      <c r="F37" s="20" t="s">
        <v>63</v>
      </c>
      <c r="G37" s="2">
        <v>380</v>
      </c>
      <c r="Y37" s="30">
        <v>3668.95</v>
      </c>
      <c r="Z37" s="14">
        <v>403.59</v>
      </c>
      <c r="AA37" s="18">
        <v>7148.74</v>
      </c>
      <c r="AC37" s="2">
        <v>0</v>
      </c>
      <c r="AD37" s="2" t="s">
        <v>53</v>
      </c>
      <c r="AE37" s="18">
        <v>7148.74</v>
      </c>
      <c r="AF37" s="2">
        <v>53112</v>
      </c>
      <c r="AG37" s="2">
        <v>0</v>
      </c>
      <c r="AH37" s="2" t="s">
        <v>54</v>
      </c>
      <c r="AI37" s="2" t="s">
        <v>55</v>
      </c>
      <c r="AJ37" s="2" t="s">
        <v>91</v>
      </c>
      <c r="AK37" s="3"/>
      <c r="AL37" s="2" t="s">
        <v>91</v>
      </c>
      <c r="AM37" s="2">
        <v>1</v>
      </c>
      <c r="AS37" s="5">
        <f>Table1[[#This Row],[Total fara TVA]]+Table1[[#This Row],[Total TVA]]</f>
        <v>4072.54</v>
      </c>
      <c r="AT37" s="30">
        <v>3668.95</v>
      </c>
      <c r="AU37" s="14">
        <v>403.59</v>
      </c>
      <c r="AV37" s="4">
        <f>Table1[[#This Row],[Total fara TVA]]+Table1[[#This Row],[Total TVA]]</f>
        <v>4072.54</v>
      </c>
      <c r="AW37" s="2" t="s">
        <v>57</v>
      </c>
      <c r="AX37" s="2">
        <v>11</v>
      </c>
      <c r="AY37" s="34">
        <v>310351</v>
      </c>
    </row>
    <row r="38" spans="1:51" ht="16.5" x14ac:dyDescent="0.3">
      <c r="A38" s="2" t="s">
        <v>58</v>
      </c>
      <c r="B38" s="15">
        <v>103</v>
      </c>
      <c r="C38" s="2">
        <v>2</v>
      </c>
      <c r="E38" s="20" t="s">
        <v>64</v>
      </c>
      <c r="F38" s="20" t="s">
        <v>64</v>
      </c>
      <c r="G38" s="2">
        <v>380</v>
      </c>
      <c r="Y38" s="30">
        <v>2898.17</v>
      </c>
      <c r="Z38" s="17">
        <v>318.8</v>
      </c>
      <c r="AA38" s="18">
        <v>6076.08</v>
      </c>
      <c r="AC38" s="2">
        <v>0</v>
      </c>
      <c r="AD38" s="2" t="s">
        <v>53</v>
      </c>
      <c r="AE38" s="18">
        <v>6076.08</v>
      </c>
      <c r="AF38" s="2">
        <v>53112</v>
      </c>
      <c r="AG38" s="2">
        <v>0</v>
      </c>
      <c r="AH38" s="2" t="s">
        <v>54</v>
      </c>
      <c r="AI38" s="2" t="s">
        <v>55</v>
      </c>
      <c r="AJ38" s="2" t="s">
        <v>91</v>
      </c>
      <c r="AK38" s="3"/>
      <c r="AL38" s="2" t="s">
        <v>91</v>
      </c>
      <c r="AM38" s="2">
        <v>1</v>
      </c>
      <c r="AS38" s="5">
        <f>Table1[[#This Row],[Total fara TVA]]+Table1[[#This Row],[Total TVA]]</f>
        <v>3216.9700000000003</v>
      </c>
      <c r="AT38" s="30">
        <v>2898.17</v>
      </c>
      <c r="AU38" s="17">
        <v>318.8</v>
      </c>
      <c r="AV38" s="4">
        <f>Table1[[#This Row],[Total fara TVA]]+Table1[[#This Row],[Total TVA]]</f>
        <v>3216.9700000000003</v>
      </c>
      <c r="AW38" s="2" t="s">
        <v>57</v>
      </c>
      <c r="AX38" s="2">
        <v>11</v>
      </c>
      <c r="AY38" s="34">
        <v>310351</v>
      </c>
    </row>
    <row r="39" spans="1:51" ht="16.5" x14ac:dyDescent="0.3">
      <c r="A39" s="2" t="s">
        <v>58</v>
      </c>
      <c r="B39" s="15">
        <v>104</v>
      </c>
      <c r="C39" s="2">
        <v>2</v>
      </c>
      <c r="E39" s="20" t="s">
        <v>65</v>
      </c>
      <c r="F39" s="20" t="s">
        <v>65</v>
      </c>
      <c r="G39" s="2">
        <v>380</v>
      </c>
      <c r="Y39" s="30">
        <v>4101.68</v>
      </c>
      <c r="Z39" s="14">
        <v>451.19</v>
      </c>
      <c r="AA39" s="18">
        <v>8438.7900000000009</v>
      </c>
      <c r="AC39" s="2">
        <v>0</v>
      </c>
      <c r="AD39" s="2" t="s">
        <v>53</v>
      </c>
      <c r="AE39" s="18">
        <v>8438.7900000000009</v>
      </c>
      <c r="AF39" s="2">
        <v>53112</v>
      </c>
      <c r="AG39" s="2">
        <v>0</v>
      </c>
      <c r="AH39" s="2" t="s">
        <v>54</v>
      </c>
      <c r="AI39" s="2" t="s">
        <v>55</v>
      </c>
      <c r="AJ39" s="2" t="s">
        <v>91</v>
      </c>
      <c r="AK39" s="3"/>
      <c r="AL39" s="2" t="s">
        <v>91</v>
      </c>
      <c r="AM39" s="2">
        <v>1</v>
      </c>
      <c r="AS39" s="5">
        <f>Table1[[#This Row],[Total fara TVA]]+Table1[[#This Row],[Total TVA]]</f>
        <v>4552.87</v>
      </c>
      <c r="AT39" s="30">
        <v>4101.68</v>
      </c>
      <c r="AU39" s="14">
        <v>451.19</v>
      </c>
      <c r="AV39" s="4">
        <f>Table1[[#This Row],[Total fara TVA]]+Table1[[#This Row],[Total TVA]]</f>
        <v>4552.87</v>
      </c>
      <c r="AW39" s="2" t="s">
        <v>57</v>
      </c>
      <c r="AX39" s="2">
        <v>11</v>
      </c>
      <c r="AY39" s="34">
        <v>310351</v>
      </c>
    </row>
    <row r="40" spans="1:51" ht="16.5" x14ac:dyDescent="0.3">
      <c r="A40" s="2" t="s">
        <v>58</v>
      </c>
      <c r="B40" s="15">
        <v>105</v>
      </c>
      <c r="C40" s="2">
        <v>2</v>
      </c>
      <c r="E40" s="20" t="s">
        <v>66</v>
      </c>
      <c r="F40" s="20" t="s">
        <v>66</v>
      </c>
      <c r="G40" s="2">
        <v>380</v>
      </c>
      <c r="Y40" s="30">
        <v>3272.16</v>
      </c>
      <c r="Z40" s="14">
        <v>359.94</v>
      </c>
      <c r="AA40" s="18">
        <v>7286.79</v>
      </c>
      <c r="AC40" s="2">
        <v>0</v>
      </c>
      <c r="AD40" s="2" t="s">
        <v>53</v>
      </c>
      <c r="AE40" s="18">
        <v>7286.79</v>
      </c>
      <c r="AF40" s="2">
        <v>53112</v>
      </c>
      <c r="AG40" s="2">
        <v>0</v>
      </c>
      <c r="AH40" s="2" t="s">
        <v>54</v>
      </c>
      <c r="AI40" s="2" t="s">
        <v>55</v>
      </c>
      <c r="AJ40" s="2" t="s">
        <v>91</v>
      </c>
      <c r="AK40" s="3"/>
      <c r="AL40" s="2" t="s">
        <v>91</v>
      </c>
      <c r="AM40" s="2">
        <v>1</v>
      </c>
      <c r="AS40" s="5">
        <f>Table1[[#This Row],[Total fara TVA]]+Table1[[#This Row],[Total TVA]]</f>
        <v>3632.1</v>
      </c>
      <c r="AT40" s="30">
        <v>3272.16</v>
      </c>
      <c r="AU40" s="14">
        <v>359.94</v>
      </c>
      <c r="AV40" s="4">
        <f>Table1[[#This Row],[Total fara TVA]]+Table1[[#This Row],[Total TVA]]</f>
        <v>3632.1</v>
      </c>
      <c r="AW40" s="2" t="s">
        <v>57</v>
      </c>
      <c r="AX40" s="2">
        <v>11</v>
      </c>
      <c r="AY40" s="34">
        <v>310351</v>
      </c>
    </row>
    <row r="41" spans="1:51" ht="16.5" x14ac:dyDescent="0.3">
      <c r="A41" s="2" t="s">
        <v>58</v>
      </c>
      <c r="B41" s="15">
        <v>106</v>
      </c>
      <c r="C41" s="2">
        <v>2</v>
      </c>
      <c r="E41" s="20" t="s">
        <v>67</v>
      </c>
      <c r="F41" s="20" t="s">
        <v>67</v>
      </c>
      <c r="G41" s="2">
        <v>380</v>
      </c>
      <c r="Y41" s="30">
        <v>5034.88</v>
      </c>
      <c r="Z41" s="14">
        <v>553.84</v>
      </c>
      <c r="AA41" s="18">
        <v>10100.450000000001</v>
      </c>
      <c r="AC41" s="2">
        <v>0</v>
      </c>
      <c r="AD41" s="2" t="s">
        <v>53</v>
      </c>
      <c r="AE41" s="18">
        <v>10100.450000000001</v>
      </c>
      <c r="AF41" s="2">
        <v>53112</v>
      </c>
      <c r="AG41" s="2">
        <v>0</v>
      </c>
      <c r="AH41" s="2" t="s">
        <v>54</v>
      </c>
      <c r="AI41" s="2" t="s">
        <v>55</v>
      </c>
      <c r="AJ41" s="2" t="s">
        <v>91</v>
      </c>
      <c r="AK41" s="3"/>
      <c r="AL41" s="2" t="s">
        <v>91</v>
      </c>
      <c r="AM41" s="2">
        <v>1</v>
      </c>
      <c r="AS41" s="5">
        <f>Table1[[#This Row],[Total fara TVA]]+Table1[[#This Row],[Total TVA]]</f>
        <v>5588.72</v>
      </c>
      <c r="AT41" s="30">
        <v>5034.88</v>
      </c>
      <c r="AU41" s="14">
        <v>553.84</v>
      </c>
      <c r="AV41" s="4">
        <f>Table1[[#This Row],[Total fara TVA]]+Table1[[#This Row],[Total TVA]]</f>
        <v>5588.72</v>
      </c>
      <c r="AW41" s="2" t="s">
        <v>57</v>
      </c>
      <c r="AX41" s="2">
        <v>11</v>
      </c>
      <c r="AY41" s="34">
        <v>310351</v>
      </c>
    </row>
    <row r="42" spans="1:51" ht="16.5" x14ac:dyDescent="0.3">
      <c r="A42" s="2" t="s">
        <v>58</v>
      </c>
      <c r="B42" s="15">
        <v>107</v>
      </c>
      <c r="C42" s="2">
        <v>2</v>
      </c>
      <c r="E42" s="20" t="s">
        <v>68</v>
      </c>
      <c r="F42" s="20" t="s">
        <v>68</v>
      </c>
      <c r="G42" s="2">
        <v>380</v>
      </c>
      <c r="Y42" s="30">
        <v>3525.21</v>
      </c>
      <c r="Z42" s="14">
        <v>387.77</v>
      </c>
      <c r="AA42" s="18">
        <v>8719.94</v>
      </c>
      <c r="AC42" s="2">
        <v>0</v>
      </c>
      <c r="AD42" s="2" t="s">
        <v>53</v>
      </c>
      <c r="AE42" s="18">
        <v>8719.94</v>
      </c>
      <c r="AF42" s="2">
        <v>53112</v>
      </c>
      <c r="AG42" s="2">
        <v>0</v>
      </c>
      <c r="AH42" s="2" t="s">
        <v>54</v>
      </c>
      <c r="AI42" s="2" t="s">
        <v>55</v>
      </c>
      <c r="AJ42" s="2" t="s">
        <v>91</v>
      </c>
      <c r="AK42" s="3"/>
      <c r="AL42" s="2" t="s">
        <v>91</v>
      </c>
      <c r="AM42" s="2">
        <v>1</v>
      </c>
      <c r="AS42" s="5">
        <f>Table1[[#This Row],[Total fara TVA]]+Table1[[#This Row],[Total TVA]]</f>
        <v>3912.98</v>
      </c>
      <c r="AT42" s="30">
        <v>3525.21</v>
      </c>
      <c r="AU42" s="14">
        <v>387.77</v>
      </c>
      <c r="AV42" s="4">
        <f>Table1[[#This Row],[Total fara TVA]]+Table1[[#This Row],[Total TVA]]</f>
        <v>3912.98</v>
      </c>
      <c r="AW42" s="2" t="s">
        <v>57</v>
      </c>
      <c r="AX42" s="2">
        <v>11</v>
      </c>
      <c r="AY42" s="34">
        <v>310351</v>
      </c>
    </row>
    <row r="43" spans="1:51" ht="16.5" x14ac:dyDescent="0.3">
      <c r="A43" s="2" t="s">
        <v>58</v>
      </c>
      <c r="B43" s="15">
        <v>108</v>
      </c>
      <c r="C43" s="2">
        <v>2</v>
      </c>
      <c r="E43" s="20" t="s">
        <v>69</v>
      </c>
      <c r="F43" s="20" t="s">
        <v>69</v>
      </c>
      <c r="G43" s="2">
        <v>380</v>
      </c>
      <c r="Y43" s="30">
        <v>2382.2399999999998</v>
      </c>
      <c r="Z43" s="14">
        <v>262.05</v>
      </c>
      <c r="AA43" s="18">
        <v>4614.07</v>
      </c>
      <c r="AC43" s="2">
        <v>0</v>
      </c>
      <c r="AD43" s="2" t="s">
        <v>53</v>
      </c>
      <c r="AE43" s="18">
        <v>4614.07</v>
      </c>
      <c r="AF43" s="2">
        <v>53112</v>
      </c>
      <c r="AG43" s="2">
        <v>0</v>
      </c>
      <c r="AH43" s="2" t="s">
        <v>54</v>
      </c>
      <c r="AI43" s="2" t="s">
        <v>55</v>
      </c>
      <c r="AJ43" s="2" t="s">
        <v>91</v>
      </c>
      <c r="AK43" s="3"/>
      <c r="AL43" s="2" t="s">
        <v>91</v>
      </c>
      <c r="AM43" s="2">
        <v>1</v>
      </c>
      <c r="AS43" s="5">
        <f>Table1[[#This Row],[Total fara TVA]]+Table1[[#This Row],[Total TVA]]</f>
        <v>2644.29</v>
      </c>
      <c r="AT43" s="30">
        <v>2382.2399999999998</v>
      </c>
      <c r="AU43" s="14">
        <v>262.05</v>
      </c>
      <c r="AV43" s="4">
        <f>Table1[[#This Row],[Total fara TVA]]+Table1[[#This Row],[Total TVA]]</f>
        <v>2644.29</v>
      </c>
      <c r="AW43" s="2" t="s">
        <v>57</v>
      </c>
      <c r="AX43" s="2">
        <v>11</v>
      </c>
      <c r="AY43" s="34">
        <v>310351</v>
      </c>
    </row>
    <row r="44" spans="1:51" ht="16.5" x14ac:dyDescent="0.3">
      <c r="A44" s="2" t="s">
        <v>58</v>
      </c>
      <c r="B44" s="15">
        <v>109</v>
      </c>
      <c r="C44" s="2">
        <v>2</v>
      </c>
      <c r="E44" s="20" t="s">
        <v>70</v>
      </c>
      <c r="F44" s="20" t="s">
        <v>70</v>
      </c>
      <c r="G44" s="2">
        <v>380</v>
      </c>
      <c r="Y44" s="30">
        <v>2698.98</v>
      </c>
      <c r="Z44" s="14">
        <v>296.89</v>
      </c>
      <c r="AA44" s="18">
        <v>5649.96</v>
      </c>
      <c r="AC44" s="2">
        <v>0</v>
      </c>
      <c r="AD44" s="2" t="s">
        <v>53</v>
      </c>
      <c r="AE44" s="18">
        <v>5649.96</v>
      </c>
      <c r="AF44" s="2">
        <v>53112</v>
      </c>
      <c r="AG44" s="2">
        <v>0</v>
      </c>
      <c r="AH44" s="2" t="s">
        <v>54</v>
      </c>
      <c r="AI44" s="2" t="s">
        <v>55</v>
      </c>
      <c r="AJ44" s="2" t="s">
        <v>91</v>
      </c>
      <c r="AK44" s="3"/>
      <c r="AL44" s="2" t="s">
        <v>91</v>
      </c>
      <c r="AM44" s="2">
        <v>1</v>
      </c>
      <c r="AS44" s="5">
        <f>Table1[[#This Row],[Total fara TVA]]+Table1[[#This Row],[Total TVA]]</f>
        <v>2995.87</v>
      </c>
      <c r="AT44" s="30">
        <v>2698.98</v>
      </c>
      <c r="AU44" s="14">
        <v>296.89</v>
      </c>
      <c r="AV44" s="4">
        <f>Table1[[#This Row],[Total fara TVA]]+Table1[[#This Row],[Total TVA]]</f>
        <v>2995.87</v>
      </c>
      <c r="AW44" s="2" t="s">
        <v>57</v>
      </c>
      <c r="AX44" s="2">
        <v>11</v>
      </c>
      <c r="AY44" s="34">
        <v>310351</v>
      </c>
    </row>
    <row r="45" spans="1:51" ht="16.5" x14ac:dyDescent="0.3">
      <c r="A45" s="2" t="s">
        <v>58</v>
      </c>
      <c r="B45" s="15">
        <v>110</v>
      </c>
      <c r="C45" s="2">
        <v>2</v>
      </c>
      <c r="E45" s="20" t="s">
        <v>71</v>
      </c>
      <c r="F45" s="20" t="s">
        <v>71</v>
      </c>
      <c r="G45" s="2">
        <v>380</v>
      </c>
      <c r="Y45" s="30">
        <v>3371.12</v>
      </c>
      <c r="Z45" s="14">
        <v>370.82</v>
      </c>
      <c r="AA45" s="18">
        <v>7230.83</v>
      </c>
      <c r="AC45" s="2">
        <v>0</v>
      </c>
      <c r="AD45" s="2" t="s">
        <v>53</v>
      </c>
      <c r="AE45" s="18">
        <v>7230.83</v>
      </c>
      <c r="AF45" s="2">
        <v>53112</v>
      </c>
      <c r="AG45" s="2">
        <v>0</v>
      </c>
      <c r="AH45" s="2" t="s">
        <v>54</v>
      </c>
      <c r="AI45" s="2" t="s">
        <v>55</v>
      </c>
      <c r="AJ45" s="2" t="s">
        <v>91</v>
      </c>
      <c r="AK45" s="3"/>
      <c r="AL45" s="2" t="s">
        <v>91</v>
      </c>
      <c r="AM45" s="2">
        <v>1</v>
      </c>
      <c r="AS45" s="5">
        <f>Table1[[#This Row],[Total fara TVA]]+Table1[[#This Row],[Total TVA]]</f>
        <v>3741.94</v>
      </c>
      <c r="AT45" s="30">
        <v>3371.12</v>
      </c>
      <c r="AU45" s="14">
        <v>370.82</v>
      </c>
      <c r="AV45" s="4">
        <f>Table1[[#This Row],[Total fara TVA]]+Table1[[#This Row],[Total TVA]]</f>
        <v>3741.94</v>
      </c>
      <c r="AW45" s="2" t="s">
        <v>57</v>
      </c>
      <c r="AX45" s="2">
        <v>11</v>
      </c>
      <c r="AY45" s="34">
        <v>310351</v>
      </c>
    </row>
    <row r="46" spans="1:51" ht="16.5" x14ac:dyDescent="0.3">
      <c r="A46" s="2" t="s">
        <v>58</v>
      </c>
      <c r="B46" s="15">
        <v>111</v>
      </c>
      <c r="C46" s="2">
        <v>2</v>
      </c>
      <c r="E46" s="20" t="s">
        <v>72</v>
      </c>
      <c r="F46" s="20" t="s">
        <v>72</v>
      </c>
      <c r="G46" s="2">
        <v>380</v>
      </c>
      <c r="Y46" s="30">
        <v>6084.16</v>
      </c>
      <c r="Z46" s="14">
        <v>669.26</v>
      </c>
      <c r="AA46" s="18">
        <v>11583.65</v>
      </c>
      <c r="AC46" s="2">
        <v>0</v>
      </c>
      <c r="AD46" s="2" t="s">
        <v>53</v>
      </c>
      <c r="AE46" s="18">
        <v>11583.65</v>
      </c>
      <c r="AF46" s="2">
        <v>53112</v>
      </c>
      <c r="AG46" s="2">
        <v>0</v>
      </c>
      <c r="AH46" s="2" t="s">
        <v>54</v>
      </c>
      <c r="AI46" s="2" t="s">
        <v>55</v>
      </c>
      <c r="AJ46" s="2" t="s">
        <v>91</v>
      </c>
      <c r="AK46" s="3"/>
      <c r="AL46" s="2" t="s">
        <v>91</v>
      </c>
      <c r="AM46" s="2">
        <v>1</v>
      </c>
      <c r="AS46" s="5">
        <f>Table1[[#This Row],[Total fara TVA]]+Table1[[#This Row],[Total TVA]]</f>
        <v>6753.42</v>
      </c>
      <c r="AT46" s="30">
        <v>6084.16</v>
      </c>
      <c r="AU46" s="14">
        <v>669.26</v>
      </c>
      <c r="AV46" s="4">
        <f>Table1[[#This Row],[Total fara TVA]]+Table1[[#This Row],[Total TVA]]</f>
        <v>6753.42</v>
      </c>
      <c r="AW46" s="2" t="s">
        <v>57</v>
      </c>
      <c r="AX46" s="2">
        <v>11</v>
      </c>
      <c r="AY46" s="34">
        <v>310351</v>
      </c>
    </row>
    <row r="47" spans="1:51" ht="16.5" x14ac:dyDescent="0.3">
      <c r="A47" s="2" t="s">
        <v>58</v>
      </c>
      <c r="B47" s="15">
        <v>112</v>
      </c>
      <c r="C47" s="2">
        <v>2</v>
      </c>
      <c r="E47" s="20" t="s">
        <v>73</v>
      </c>
      <c r="F47" s="20" t="s">
        <v>73</v>
      </c>
      <c r="G47" s="2">
        <v>380</v>
      </c>
      <c r="Y47" s="30">
        <v>4550.6499999999996</v>
      </c>
      <c r="Z47" s="14">
        <v>500.57</v>
      </c>
      <c r="AA47" s="18">
        <v>9096.08</v>
      </c>
      <c r="AC47" s="2">
        <v>0</v>
      </c>
      <c r="AD47" s="2" t="s">
        <v>53</v>
      </c>
      <c r="AE47" s="18">
        <v>9096.08</v>
      </c>
      <c r="AF47" s="2">
        <v>53112</v>
      </c>
      <c r="AG47" s="2">
        <v>0</v>
      </c>
      <c r="AH47" s="2" t="s">
        <v>54</v>
      </c>
      <c r="AI47" s="2" t="s">
        <v>55</v>
      </c>
      <c r="AJ47" s="2" t="s">
        <v>91</v>
      </c>
      <c r="AK47" s="3"/>
      <c r="AL47" s="2" t="s">
        <v>91</v>
      </c>
      <c r="AM47" s="2">
        <v>1</v>
      </c>
      <c r="AS47" s="5">
        <f>Table1[[#This Row],[Total fara TVA]]+Table1[[#This Row],[Total TVA]]</f>
        <v>5051.2199999999993</v>
      </c>
      <c r="AT47" s="30">
        <v>4550.6499999999996</v>
      </c>
      <c r="AU47" s="14">
        <v>500.57</v>
      </c>
      <c r="AV47" s="4">
        <f>Table1[[#This Row],[Total fara TVA]]+Table1[[#This Row],[Total TVA]]</f>
        <v>5051.2199999999993</v>
      </c>
      <c r="AW47" s="2" t="s">
        <v>57</v>
      </c>
      <c r="AX47" s="2">
        <v>11</v>
      </c>
      <c r="AY47" s="34">
        <v>310351</v>
      </c>
    </row>
    <row r="48" spans="1:51" ht="16.5" x14ac:dyDescent="0.3">
      <c r="A48" s="2" t="s">
        <v>58</v>
      </c>
      <c r="B48" s="15">
        <v>113</v>
      </c>
      <c r="C48" s="2">
        <v>2</v>
      </c>
      <c r="E48" s="20" t="s">
        <v>74</v>
      </c>
      <c r="F48" s="20" t="s">
        <v>74</v>
      </c>
      <c r="G48" s="2">
        <v>380</v>
      </c>
      <c r="Y48" s="31">
        <v>2060.9</v>
      </c>
      <c r="Z48" s="17">
        <v>226.7</v>
      </c>
      <c r="AA48" s="18">
        <v>5039.26</v>
      </c>
      <c r="AC48" s="2">
        <v>0</v>
      </c>
      <c r="AD48" s="2" t="s">
        <v>53</v>
      </c>
      <c r="AE48" s="18">
        <v>5039.26</v>
      </c>
      <c r="AF48" s="2">
        <v>53112</v>
      </c>
      <c r="AG48" s="2">
        <v>0</v>
      </c>
      <c r="AH48" s="2" t="s">
        <v>54</v>
      </c>
      <c r="AI48" s="2" t="s">
        <v>55</v>
      </c>
      <c r="AJ48" s="2" t="s">
        <v>91</v>
      </c>
      <c r="AK48" s="3"/>
      <c r="AL48" s="2" t="s">
        <v>91</v>
      </c>
      <c r="AM48" s="2">
        <v>1</v>
      </c>
      <c r="AS48" s="5">
        <f>Table1[[#This Row],[Total fara TVA]]+Table1[[#This Row],[Total TVA]]</f>
        <v>2287.6</v>
      </c>
      <c r="AT48" s="31">
        <v>2060.9</v>
      </c>
      <c r="AU48" s="17">
        <v>226.7</v>
      </c>
      <c r="AV48" s="4">
        <f>Table1[[#This Row],[Total fara TVA]]+Table1[[#This Row],[Total TVA]]</f>
        <v>2287.6</v>
      </c>
      <c r="AW48" s="2" t="s">
        <v>57</v>
      </c>
      <c r="AX48" s="2">
        <v>11</v>
      </c>
      <c r="AY48" s="34">
        <v>310351</v>
      </c>
    </row>
    <row r="49" spans="1:51" ht="16.5" x14ac:dyDescent="0.3">
      <c r="A49" s="2" t="s">
        <v>58</v>
      </c>
      <c r="B49" s="15">
        <v>114</v>
      </c>
      <c r="C49" s="2">
        <v>2</v>
      </c>
      <c r="E49" s="20" t="s">
        <v>75</v>
      </c>
      <c r="F49" s="20" t="s">
        <v>75</v>
      </c>
      <c r="G49" s="2">
        <v>380</v>
      </c>
      <c r="Y49" s="31">
        <v>2523.6</v>
      </c>
      <c r="Z49" s="17">
        <v>277.60000000000002</v>
      </c>
      <c r="AA49" s="18">
        <v>6313.19</v>
      </c>
      <c r="AC49" s="2">
        <v>0</v>
      </c>
      <c r="AD49" s="2" t="s">
        <v>53</v>
      </c>
      <c r="AE49" s="18">
        <v>6313.19</v>
      </c>
      <c r="AF49" s="2">
        <v>53112</v>
      </c>
      <c r="AG49" s="2">
        <v>0</v>
      </c>
      <c r="AH49" s="2" t="s">
        <v>54</v>
      </c>
      <c r="AI49" s="2" t="s">
        <v>55</v>
      </c>
      <c r="AJ49" s="2" t="s">
        <v>91</v>
      </c>
      <c r="AK49" s="3"/>
      <c r="AL49" s="2" t="s">
        <v>91</v>
      </c>
      <c r="AM49" s="2">
        <v>1</v>
      </c>
      <c r="AS49" s="5">
        <f>Table1[[#This Row],[Total fara TVA]]+Table1[[#This Row],[Total TVA]]</f>
        <v>2801.2</v>
      </c>
      <c r="AT49" s="31">
        <v>2523.6</v>
      </c>
      <c r="AU49" s="17">
        <v>277.60000000000002</v>
      </c>
      <c r="AV49" s="4">
        <f>Table1[[#This Row],[Total fara TVA]]+Table1[[#This Row],[Total TVA]]</f>
        <v>2801.2</v>
      </c>
      <c r="AW49" s="2" t="s">
        <v>57</v>
      </c>
      <c r="AX49" s="2">
        <v>11</v>
      </c>
      <c r="AY49" s="34">
        <v>310351</v>
      </c>
    </row>
    <row r="50" spans="1:51" ht="16.5" x14ac:dyDescent="0.3">
      <c r="A50" s="2" t="s">
        <v>58</v>
      </c>
      <c r="B50" s="15">
        <v>115</v>
      </c>
      <c r="C50" s="2">
        <v>2</v>
      </c>
      <c r="E50" s="20" t="s">
        <v>76</v>
      </c>
      <c r="F50" s="20" t="s">
        <v>76</v>
      </c>
      <c r="G50" s="2">
        <v>380</v>
      </c>
      <c r="Y50" s="30">
        <v>2523.5700000000002</v>
      </c>
      <c r="Z50" s="14">
        <v>277.58999999999997</v>
      </c>
      <c r="AA50" s="18">
        <v>6393.29</v>
      </c>
      <c r="AC50" s="2">
        <v>0</v>
      </c>
      <c r="AD50" s="2" t="s">
        <v>53</v>
      </c>
      <c r="AE50" s="18">
        <v>6393.29</v>
      </c>
      <c r="AF50" s="2">
        <v>53112</v>
      </c>
      <c r="AG50" s="2">
        <v>0</v>
      </c>
      <c r="AH50" s="2" t="s">
        <v>54</v>
      </c>
      <c r="AI50" s="2" t="s">
        <v>55</v>
      </c>
      <c r="AJ50" s="2" t="s">
        <v>91</v>
      </c>
      <c r="AK50" s="3"/>
      <c r="AL50" s="2" t="s">
        <v>91</v>
      </c>
      <c r="AM50" s="2">
        <v>1</v>
      </c>
      <c r="AS50" s="5">
        <f>Table1[[#This Row],[Total fara TVA]]+Table1[[#This Row],[Total TVA]]</f>
        <v>2801.1600000000003</v>
      </c>
      <c r="AT50" s="30">
        <v>2523.5700000000002</v>
      </c>
      <c r="AU50" s="14">
        <v>277.58999999999997</v>
      </c>
      <c r="AV50" s="4">
        <f>Table1[[#This Row],[Total fara TVA]]+Table1[[#This Row],[Total TVA]]</f>
        <v>2801.1600000000003</v>
      </c>
      <c r="AW50" s="2" t="s">
        <v>57</v>
      </c>
      <c r="AX50" s="2">
        <v>11</v>
      </c>
      <c r="AY50" s="34">
        <v>310351</v>
      </c>
    </row>
    <row r="51" spans="1:51" ht="16.5" x14ac:dyDescent="0.3">
      <c r="A51" s="2" t="s">
        <v>58</v>
      </c>
      <c r="B51" s="15">
        <v>116</v>
      </c>
      <c r="C51" s="2">
        <v>2</v>
      </c>
      <c r="E51" s="20" t="s">
        <v>77</v>
      </c>
      <c r="F51" s="20" t="s">
        <v>77</v>
      </c>
      <c r="G51" s="2">
        <v>380</v>
      </c>
      <c r="Y51" s="30">
        <v>3143.89</v>
      </c>
      <c r="Z51" s="14">
        <v>345.83</v>
      </c>
      <c r="AA51" s="18">
        <v>7278.16</v>
      </c>
      <c r="AC51" s="2">
        <v>0</v>
      </c>
      <c r="AD51" s="2" t="s">
        <v>53</v>
      </c>
      <c r="AE51" s="18">
        <v>7278.16</v>
      </c>
      <c r="AF51" s="2">
        <v>53112</v>
      </c>
      <c r="AG51" s="2">
        <v>0</v>
      </c>
      <c r="AH51" s="2" t="s">
        <v>54</v>
      </c>
      <c r="AI51" s="2" t="s">
        <v>55</v>
      </c>
      <c r="AJ51" s="2" t="s">
        <v>91</v>
      </c>
      <c r="AK51" s="3"/>
      <c r="AL51" s="2" t="s">
        <v>91</v>
      </c>
      <c r="AM51" s="2">
        <v>1</v>
      </c>
      <c r="AS51" s="5">
        <f>Table1[[#This Row],[Total fara TVA]]+Table1[[#This Row],[Total TVA]]</f>
        <v>3489.72</v>
      </c>
      <c r="AT51" s="30">
        <v>3143.89</v>
      </c>
      <c r="AU51" s="14">
        <v>345.83</v>
      </c>
      <c r="AV51" s="4">
        <f>Table1[[#This Row],[Total fara TVA]]+Table1[[#This Row],[Total TVA]]</f>
        <v>3489.72</v>
      </c>
      <c r="AW51" s="2" t="s">
        <v>57</v>
      </c>
      <c r="AX51" s="2">
        <v>11</v>
      </c>
      <c r="AY51" s="34">
        <v>310351</v>
      </c>
    </row>
    <row r="52" spans="1:51" ht="16.5" x14ac:dyDescent="0.3">
      <c r="A52" s="2" t="s">
        <v>58</v>
      </c>
      <c r="B52" s="15">
        <v>117</v>
      </c>
      <c r="C52" s="2">
        <v>2</v>
      </c>
      <c r="E52" s="20" t="s">
        <v>78</v>
      </c>
      <c r="F52" s="20" t="s">
        <v>78</v>
      </c>
      <c r="G52" s="2">
        <v>380</v>
      </c>
      <c r="Y52" s="30">
        <v>2595.38</v>
      </c>
      <c r="Z52" s="14">
        <v>285.49</v>
      </c>
      <c r="AA52" s="18">
        <v>6214.18</v>
      </c>
      <c r="AC52" s="2">
        <v>0</v>
      </c>
      <c r="AD52" s="2" t="s">
        <v>53</v>
      </c>
      <c r="AE52" s="18">
        <v>6214.18</v>
      </c>
      <c r="AF52" s="2">
        <v>53112</v>
      </c>
      <c r="AG52" s="2">
        <v>0</v>
      </c>
      <c r="AH52" s="2" t="s">
        <v>54</v>
      </c>
      <c r="AI52" s="2" t="s">
        <v>55</v>
      </c>
      <c r="AJ52" s="2" t="s">
        <v>91</v>
      </c>
      <c r="AK52" s="3"/>
      <c r="AL52" s="2" t="s">
        <v>91</v>
      </c>
      <c r="AM52" s="2">
        <v>1</v>
      </c>
      <c r="AS52" s="5">
        <f>Table1[[#This Row],[Total fara TVA]]+Table1[[#This Row],[Total TVA]]</f>
        <v>2880.87</v>
      </c>
      <c r="AT52" s="30">
        <v>2595.38</v>
      </c>
      <c r="AU52" s="14">
        <v>285.49</v>
      </c>
      <c r="AV52" s="4">
        <f>Table1[[#This Row],[Total fara TVA]]+Table1[[#This Row],[Total TVA]]</f>
        <v>2880.87</v>
      </c>
      <c r="AW52" s="2" t="s">
        <v>57</v>
      </c>
      <c r="AX52" s="2">
        <v>11</v>
      </c>
      <c r="AY52" s="34">
        <v>310351</v>
      </c>
    </row>
    <row r="53" spans="1:51" ht="16.5" x14ac:dyDescent="0.3">
      <c r="A53" s="2" t="s">
        <v>58</v>
      </c>
      <c r="B53" s="15">
        <v>118</v>
      </c>
      <c r="C53" s="2">
        <v>2</v>
      </c>
      <c r="E53" s="20" t="s">
        <v>79</v>
      </c>
      <c r="F53" s="20" t="s">
        <v>79</v>
      </c>
      <c r="G53" s="2">
        <v>380</v>
      </c>
      <c r="Y53" s="30">
        <v>2939.11</v>
      </c>
      <c r="Z53" s="17">
        <v>323.3</v>
      </c>
      <c r="AA53" s="18">
        <v>6525.46</v>
      </c>
      <c r="AC53" s="2">
        <v>0</v>
      </c>
      <c r="AD53" s="2" t="s">
        <v>53</v>
      </c>
      <c r="AE53" s="18">
        <v>6525.46</v>
      </c>
      <c r="AF53" s="2">
        <v>53112</v>
      </c>
      <c r="AG53" s="2">
        <v>0</v>
      </c>
      <c r="AH53" s="2" t="s">
        <v>54</v>
      </c>
      <c r="AI53" s="2" t="s">
        <v>55</v>
      </c>
      <c r="AJ53" s="2" t="s">
        <v>91</v>
      </c>
      <c r="AK53" s="3"/>
      <c r="AL53" s="2" t="s">
        <v>91</v>
      </c>
      <c r="AM53" s="2">
        <v>1</v>
      </c>
      <c r="AS53" s="5">
        <f>Table1[[#This Row],[Total fara TVA]]+Table1[[#This Row],[Total TVA]]</f>
        <v>3262.4100000000003</v>
      </c>
      <c r="AT53" s="30">
        <v>2939.11</v>
      </c>
      <c r="AU53" s="17">
        <v>323.3</v>
      </c>
      <c r="AV53" s="4">
        <f>Table1[[#This Row],[Total fara TVA]]+Table1[[#This Row],[Total TVA]]</f>
        <v>3262.4100000000003</v>
      </c>
      <c r="AW53" s="2" t="s">
        <v>57</v>
      </c>
      <c r="AX53" s="2">
        <v>11</v>
      </c>
      <c r="AY53" s="34">
        <v>310351</v>
      </c>
    </row>
    <row r="54" spans="1:51" ht="16.5" x14ac:dyDescent="0.3">
      <c r="A54" s="2" t="s">
        <v>58</v>
      </c>
      <c r="B54" s="15">
        <v>119</v>
      </c>
      <c r="C54" s="2">
        <v>2</v>
      </c>
      <c r="E54" s="20" t="s">
        <v>80</v>
      </c>
      <c r="F54" s="20" t="s">
        <v>80</v>
      </c>
      <c r="G54" s="2">
        <v>380</v>
      </c>
      <c r="Y54" s="30">
        <v>3725.42</v>
      </c>
      <c r="Z54" s="17">
        <v>409.8</v>
      </c>
      <c r="AA54" s="18">
        <v>8523.08</v>
      </c>
      <c r="AC54" s="2">
        <v>0</v>
      </c>
      <c r="AD54" s="2" t="s">
        <v>53</v>
      </c>
      <c r="AE54" s="18">
        <v>8523.08</v>
      </c>
      <c r="AF54" s="2">
        <v>53112</v>
      </c>
      <c r="AG54" s="2">
        <v>0</v>
      </c>
      <c r="AH54" s="2" t="s">
        <v>54</v>
      </c>
      <c r="AI54" s="2" t="s">
        <v>55</v>
      </c>
      <c r="AJ54" s="2" t="s">
        <v>91</v>
      </c>
      <c r="AK54" s="3"/>
      <c r="AL54" s="2" t="s">
        <v>91</v>
      </c>
      <c r="AM54" s="2">
        <v>1</v>
      </c>
      <c r="AS54" s="5">
        <f>Table1[[#This Row],[Total fara TVA]]+Table1[[#This Row],[Total TVA]]</f>
        <v>4135.22</v>
      </c>
      <c r="AT54" s="30">
        <v>3725.42</v>
      </c>
      <c r="AU54" s="17">
        <v>409.8</v>
      </c>
      <c r="AV54" s="4">
        <f>Table1[[#This Row],[Total fara TVA]]+Table1[[#This Row],[Total TVA]]</f>
        <v>4135.22</v>
      </c>
      <c r="AW54" s="2" t="s">
        <v>57</v>
      </c>
      <c r="AX54" s="2">
        <v>11</v>
      </c>
      <c r="AY54" s="34">
        <v>310351</v>
      </c>
    </row>
    <row r="55" spans="1:51" ht="16.5" x14ac:dyDescent="0.3">
      <c r="A55" s="2" t="s">
        <v>58</v>
      </c>
      <c r="B55" s="15">
        <v>120</v>
      </c>
      <c r="C55" s="2">
        <v>2</v>
      </c>
      <c r="E55" s="20" t="s">
        <v>81</v>
      </c>
      <c r="F55" s="20" t="s">
        <v>81</v>
      </c>
      <c r="G55" s="2">
        <v>380</v>
      </c>
      <c r="Y55" s="30">
        <v>3713.11</v>
      </c>
      <c r="Z55" s="14">
        <v>408.44</v>
      </c>
      <c r="AA55" s="18">
        <v>7815.63</v>
      </c>
      <c r="AC55" s="2">
        <v>0</v>
      </c>
      <c r="AD55" s="2" t="s">
        <v>53</v>
      </c>
      <c r="AE55" s="18">
        <v>7815.63</v>
      </c>
      <c r="AF55" s="2">
        <v>53112</v>
      </c>
      <c r="AG55" s="2">
        <v>0</v>
      </c>
      <c r="AH55" s="2" t="s">
        <v>54</v>
      </c>
      <c r="AI55" s="2" t="s">
        <v>55</v>
      </c>
      <c r="AJ55" s="2" t="s">
        <v>91</v>
      </c>
      <c r="AK55" s="3"/>
      <c r="AL55" s="2" t="s">
        <v>91</v>
      </c>
      <c r="AM55" s="2">
        <v>1</v>
      </c>
      <c r="AS55" s="5">
        <f>Table1[[#This Row],[Total fara TVA]]+Table1[[#This Row],[Total TVA]]</f>
        <v>4121.55</v>
      </c>
      <c r="AT55" s="30">
        <v>3713.11</v>
      </c>
      <c r="AU55" s="14">
        <v>408.44</v>
      </c>
      <c r="AV55" s="4">
        <f>Table1[[#This Row],[Total fara TVA]]+Table1[[#This Row],[Total TVA]]</f>
        <v>4121.55</v>
      </c>
      <c r="AW55" s="2" t="s">
        <v>57</v>
      </c>
      <c r="AX55" s="2">
        <v>11</v>
      </c>
      <c r="AY55" s="34">
        <v>310351</v>
      </c>
    </row>
    <row r="56" spans="1:51" ht="16.5" x14ac:dyDescent="0.3">
      <c r="A56" s="2" t="s">
        <v>58</v>
      </c>
      <c r="B56" s="15">
        <v>121</v>
      </c>
      <c r="C56" s="2">
        <v>2</v>
      </c>
      <c r="E56" s="20" t="s">
        <v>82</v>
      </c>
      <c r="F56" s="20" t="s">
        <v>82</v>
      </c>
      <c r="G56" s="2">
        <v>380</v>
      </c>
      <c r="Y56" s="30">
        <v>3449.36</v>
      </c>
      <c r="Z56" s="14">
        <v>379.43</v>
      </c>
      <c r="AA56" s="18">
        <v>6895.76</v>
      </c>
      <c r="AC56" s="2">
        <v>0</v>
      </c>
      <c r="AD56" s="2" t="s">
        <v>53</v>
      </c>
      <c r="AE56" s="18">
        <v>6895.76</v>
      </c>
      <c r="AF56" s="2">
        <v>53112</v>
      </c>
      <c r="AG56" s="2">
        <v>0</v>
      </c>
      <c r="AH56" s="2" t="s">
        <v>54</v>
      </c>
      <c r="AI56" s="2" t="s">
        <v>55</v>
      </c>
      <c r="AJ56" s="2" t="s">
        <v>91</v>
      </c>
      <c r="AK56" s="3"/>
      <c r="AL56" s="2" t="s">
        <v>91</v>
      </c>
      <c r="AM56" s="2">
        <v>1</v>
      </c>
      <c r="AS56" s="5">
        <f>Table1[[#This Row],[Total fara TVA]]+Table1[[#This Row],[Total TVA]]</f>
        <v>3828.79</v>
      </c>
      <c r="AT56" s="30">
        <v>3449.36</v>
      </c>
      <c r="AU56" s="14">
        <v>379.43</v>
      </c>
      <c r="AV56" s="4">
        <f>Table1[[#This Row],[Total fara TVA]]+Table1[[#This Row],[Total TVA]]</f>
        <v>3828.79</v>
      </c>
      <c r="AW56" s="2" t="s">
        <v>57</v>
      </c>
      <c r="AX56" s="2">
        <v>11</v>
      </c>
      <c r="AY56" s="34">
        <v>310351</v>
      </c>
    </row>
    <row r="57" spans="1:51" ht="16.5" x14ac:dyDescent="0.3">
      <c r="A57" s="2" t="s">
        <v>58</v>
      </c>
      <c r="B57" s="15">
        <v>122</v>
      </c>
      <c r="C57" s="2">
        <v>2</v>
      </c>
      <c r="E57" s="20" t="s">
        <v>83</v>
      </c>
      <c r="F57" s="20" t="s">
        <v>83</v>
      </c>
      <c r="G57" s="2">
        <v>380</v>
      </c>
      <c r="Y57" s="30">
        <v>2936.11</v>
      </c>
      <c r="Z57" s="14">
        <v>322.97000000000003</v>
      </c>
      <c r="AA57" s="18">
        <v>7541.19</v>
      </c>
      <c r="AC57" s="2">
        <v>0</v>
      </c>
      <c r="AD57" s="2" t="s">
        <v>53</v>
      </c>
      <c r="AE57" s="18">
        <v>7541.19</v>
      </c>
      <c r="AF57" s="2">
        <v>53112</v>
      </c>
      <c r="AG57" s="2">
        <v>0</v>
      </c>
      <c r="AH57" s="2" t="s">
        <v>54</v>
      </c>
      <c r="AI57" s="2" t="s">
        <v>55</v>
      </c>
      <c r="AJ57" s="2" t="s">
        <v>91</v>
      </c>
      <c r="AK57" s="3"/>
      <c r="AL57" s="2" t="s">
        <v>91</v>
      </c>
      <c r="AM57" s="2">
        <v>1</v>
      </c>
      <c r="AS57" s="5">
        <f>Table1[[#This Row],[Total fara TVA]]+Table1[[#This Row],[Total TVA]]</f>
        <v>3259.08</v>
      </c>
      <c r="AT57" s="30">
        <v>2936.11</v>
      </c>
      <c r="AU57" s="14">
        <v>322.97000000000003</v>
      </c>
      <c r="AV57" s="4">
        <f>Table1[[#This Row],[Total fara TVA]]+Table1[[#This Row],[Total TVA]]</f>
        <v>3259.08</v>
      </c>
      <c r="AW57" s="2" t="s">
        <v>57</v>
      </c>
      <c r="AX57" s="2">
        <v>11</v>
      </c>
      <c r="AY57" s="34">
        <v>310351</v>
      </c>
    </row>
    <row r="58" spans="1:51" ht="16.5" x14ac:dyDescent="0.3">
      <c r="A58" s="2" t="s">
        <v>58</v>
      </c>
      <c r="B58" s="15">
        <v>123</v>
      </c>
      <c r="C58" s="2">
        <v>2</v>
      </c>
      <c r="E58" s="20" t="s">
        <v>84</v>
      </c>
      <c r="F58" s="20" t="s">
        <v>84</v>
      </c>
      <c r="G58" s="2">
        <v>380</v>
      </c>
      <c r="Y58" s="31">
        <v>2660.3</v>
      </c>
      <c r="Z58" s="14">
        <v>292.63</v>
      </c>
      <c r="AA58" s="18">
        <v>6257.35</v>
      </c>
      <c r="AC58" s="2">
        <v>0</v>
      </c>
      <c r="AD58" s="2" t="s">
        <v>53</v>
      </c>
      <c r="AE58" s="18">
        <v>6257.35</v>
      </c>
      <c r="AF58" s="2">
        <v>53112</v>
      </c>
      <c r="AG58" s="2">
        <v>0</v>
      </c>
      <c r="AH58" s="2" t="s">
        <v>54</v>
      </c>
      <c r="AI58" s="2" t="s">
        <v>55</v>
      </c>
      <c r="AJ58" s="2" t="s">
        <v>91</v>
      </c>
      <c r="AK58" s="3"/>
      <c r="AL58" s="2" t="s">
        <v>91</v>
      </c>
      <c r="AM58" s="2">
        <v>1</v>
      </c>
      <c r="AS58" s="5">
        <f>Table1[[#This Row],[Total fara TVA]]+Table1[[#This Row],[Total TVA]]</f>
        <v>2952.9300000000003</v>
      </c>
      <c r="AT58" s="31">
        <v>2660.3</v>
      </c>
      <c r="AU58" s="14">
        <v>292.63</v>
      </c>
      <c r="AV58" s="4">
        <f>Table1[[#This Row],[Total fara TVA]]+Table1[[#This Row],[Total TVA]]</f>
        <v>2952.9300000000003</v>
      </c>
      <c r="AW58" s="2" t="s">
        <v>57</v>
      </c>
      <c r="AX58" s="2">
        <v>11</v>
      </c>
      <c r="AY58" s="34">
        <v>310351</v>
      </c>
    </row>
    <row r="59" spans="1:51" ht="16.5" x14ac:dyDescent="0.3">
      <c r="A59" s="2" t="s">
        <v>58</v>
      </c>
      <c r="B59" s="15">
        <v>124</v>
      </c>
      <c r="C59" s="2">
        <v>2</v>
      </c>
      <c r="E59" s="20" t="s">
        <v>85</v>
      </c>
      <c r="F59" s="20" t="s">
        <v>85</v>
      </c>
      <c r="G59" s="2">
        <v>380</v>
      </c>
      <c r="Y59" s="30">
        <v>2841.36</v>
      </c>
      <c r="Z59" s="14">
        <v>312.55</v>
      </c>
      <c r="AA59" s="18">
        <v>5793.67</v>
      </c>
      <c r="AC59" s="2">
        <v>0</v>
      </c>
      <c r="AD59" s="2" t="s">
        <v>53</v>
      </c>
      <c r="AE59" s="18">
        <v>5793.67</v>
      </c>
      <c r="AF59" s="2">
        <v>53112</v>
      </c>
      <c r="AG59" s="2">
        <v>0</v>
      </c>
      <c r="AH59" s="2" t="s">
        <v>54</v>
      </c>
      <c r="AI59" s="2" t="s">
        <v>55</v>
      </c>
      <c r="AJ59" s="2" t="s">
        <v>91</v>
      </c>
      <c r="AK59" s="3"/>
      <c r="AL59" s="2" t="s">
        <v>91</v>
      </c>
      <c r="AM59" s="2">
        <v>1</v>
      </c>
      <c r="AS59" s="5">
        <f>Table1[[#This Row],[Total fara TVA]]+Table1[[#This Row],[Total TVA]]</f>
        <v>3153.9100000000003</v>
      </c>
      <c r="AT59" s="30">
        <v>2841.36</v>
      </c>
      <c r="AU59" s="14">
        <v>312.55</v>
      </c>
      <c r="AV59" s="4">
        <f>Table1[[#This Row],[Total fara TVA]]+Table1[[#This Row],[Total TVA]]</f>
        <v>3153.9100000000003</v>
      </c>
      <c r="AW59" s="2" t="s">
        <v>57</v>
      </c>
      <c r="AX59" s="2">
        <v>11</v>
      </c>
      <c r="AY59" s="34">
        <v>310351</v>
      </c>
    </row>
    <row r="60" spans="1:51" ht="16.5" x14ac:dyDescent="0.3">
      <c r="A60" s="2" t="s">
        <v>58</v>
      </c>
      <c r="B60" s="15">
        <v>125</v>
      </c>
      <c r="C60" s="2">
        <v>2</v>
      </c>
      <c r="E60" s="20" t="s">
        <v>86</v>
      </c>
      <c r="F60" s="20" t="s">
        <v>86</v>
      </c>
      <c r="G60" s="2">
        <v>380</v>
      </c>
      <c r="Y60" s="30">
        <v>2917.52</v>
      </c>
      <c r="Z60" s="14">
        <v>320.93</v>
      </c>
      <c r="AA60" s="18">
        <v>6335.38</v>
      </c>
      <c r="AC60" s="2">
        <v>0</v>
      </c>
      <c r="AD60" s="2" t="s">
        <v>53</v>
      </c>
      <c r="AE60" s="18">
        <v>6335.38</v>
      </c>
      <c r="AF60" s="2">
        <v>53112</v>
      </c>
      <c r="AG60" s="2">
        <v>0</v>
      </c>
      <c r="AH60" s="2" t="s">
        <v>54</v>
      </c>
      <c r="AI60" s="2" t="s">
        <v>55</v>
      </c>
      <c r="AJ60" s="2" t="s">
        <v>91</v>
      </c>
      <c r="AL60" s="2" t="s">
        <v>91</v>
      </c>
      <c r="AM60" s="2">
        <v>1</v>
      </c>
      <c r="AS60" s="4">
        <f>Table1[[#This Row],[Total fara TVA]]+Table1[[#This Row],[Total TVA]]</f>
        <v>3238.45</v>
      </c>
      <c r="AT60" s="30">
        <v>2917.52</v>
      </c>
      <c r="AU60" s="14">
        <v>320.93</v>
      </c>
      <c r="AV60" s="4">
        <f>Table1[[#This Row],[Total fara TVA]]+Table1[[#This Row],[Total TVA]]</f>
        <v>3238.45</v>
      </c>
      <c r="AW60" s="2" t="s">
        <v>57</v>
      </c>
      <c r="AX60" s="2">
        <v>11</v>
      </c>
      <c r="AY60" s="34">
        <v>310351</v>
      </c>
    </row>
    <row r="61" spans="1:51" ht="16.5" x14ac:dyDescent="0.3">
      <c r="A61" s="2" t="s">
        <v>58</v>
      </c>
      <c r="B61" s="15">
        <v>126</v>
      </c>
      <c r="C61" s="2">
        <v>2</v>
      </c>
      <c r="E61" s="20" t="s">
        <v>87</v>
      </c>
      <c r="F61" s="20" t="s">
        <v>87</v>
      </c>
      <c r="G61" s="2">
        <v>380</v>
      </c>
      <c r="Y61" s="30">
        <v>4201.58</v>
      </c>
      <c r="Z61" s="14">
        <v>462.17</v>
      </c>
      <c r="AA61" s="18">
        <v>9445.43</v>
      </c>
      <c r="AC61" s="2">
        <v>0</v>
      </c>
      <c r="AD61" s="2" t="s">
        <v>53</v>
      </c>
      <c r="AE61" s="18">
        <v>9445.43</v>
      </c>
      <c r="AF61" s="2">
        <v>53112</v>
      </c>
      <c r="AG61" s="2">
        <v>0</v>
      </c>
      <c r="AH61" s="2" t="s">
        <v>54</v>
      </c>
      <c r="AI61" s="2" t="s">
        <v>55</v>
      </c>
      <c r="AJ61" s="2" t="s">
        <v>91</v>
      </c>
      <c r="AL61" s="2" t="s">
        <v>91</v>
      </c>
      <c r="AM61" s="2">
        <v>1</v>
      </c>
      <c r="AS61" s="4">
        <f>Table1[[#This Row],[Total fara TVA]]+Table1[[#This Row],[Total TVA]]</f>
        <v>4663.75</v>
      </c>
      <c r="AT61" s="30">
        <v>4201.58</v>
      </c>
      <c r="AU61" s="14">
        <v>462.17</v>
      </c>
      <c r="AV61" s="4">
        <f>Table1[[#This Row],[Total fara TVA]]+Table1[[#This Row],[Total TVA]]</f>
        <v>4663.75</v>
      </c>
      <c r="AW61" s="2" t="s">
        <v>57</v>
      </c>
      <c r="AX61" s="2">
        <v>11</v>
      </c>
      <c r="AY61" s="34">
        <v>310351</v>
      </c>
    </row>
    <row r="62" spans="1:51" ht="16.5" x14ac:dyDescent="0.3">
      <c r="A62" s="2" t="s">
        <v>58</v>
      </c>
      <c r="B62" s="15">
        <v>127</v>
      </c>
      <c r="C62" s="2">
        <v>2</v>
      </c>
      <c r="E62" s="20" t="s">
        <v>88</v>
      </c>
      <c r="F62" s="20" t="s">
        <v>88</v>
      </c>
      <c r="G62" s="2">
        <v>380</v>
      </c>
      <c r="Y62" s="30">
        <v>4341.4799999999996</v>
      </c>
      <c r="Z62" s="14">
        <v>477.56</v>
      </c>
      <c r="AA62" s="18">
        <v>8291.83</v>
      </c>
      <c r="AC62" s="2">
        <v>0</v>
      </c>
      <c r="AD62" s="2" t="s">
        <v>53</v>
      </c>
      <c r="AE62" s="18">
        <v>8291.83</v>
      </c>
      <c r="AF62" s="2">
        <v>53112</v>
      </c>
      <c r="AH62" s="2" t="s">
        <v>54</v>
      </c>
      <c r="AI62" s="2" t="s">
        <v>55</v>
      </c>
      <c r="AJ62" s="2" t="s">
        <v>91</v>
      </c>
      <c r="AL62" s="2" t="s">
        <v>91</v>
      </c>
      <c r="AM62" s="2">
        <v>1</v>
      </c>
      <c r="AS62" s="4">
        <f>Table1[[#This Row],[Total fara TVA]]+Table1[[#This Row],[Total TVA]]</f>
        <v>4819.04</v>
      </c>
      <c r="AT62" s="30">
        <v>4341.4799999999996</v>
      </c>
      <c r="AU62" s="14">
        <v>477.56</v>
      </c>
      <c r="AV62" s="4">
        <f>Table1[[#This Row],[Total fara TVA]]+Table1[[#This Row],[Total TVA]]</f>
        <v>4819.04</v>
      </c>
      <c r="AW62" s="2" t="s">
        <v>57</v>
      </c>
      <c r="AX62" s="2">
        <v>11</v>
      </c>
      <c r="AY62" s="34">
        <v>310351</v>
      </c>
    </row>
    <row r="63" spans="1:51" ht="16.5" x14ac:dyDescent="0.3">
      <c r="A63" s="2" t="s">
        <v>58</v>
      </c>
      <c r="B63" s="15">
        <v>128</v>
      </c>
      <c r="C63" s="2">
        <v>2</v>
      </c>
      <c r="E63" s="20" t="s">
        <v>89</v>
      </c>
      <c r="F63" s="20" t="s">
        <v>89</v>
      </c>
      <c r="G63" s="2">
        <v>380</v>
      </c>
      <c r="Y63" s="30">
        <v>2515.98</v>
      </c>
      <c r="Z63" s="14">
        <v>276.76</v>
      </c>
      <c r="AA63" s="18">
        <v>6047.22</v>
      </c>
      <c r="AC63" s="2">
        <v>0</v>
      </c>
      <c r="AD63" s="2" t="s">
        <v>53</v>
      </c>
      <c r="AE63" s="18">
        <v>6047.22</v>
      </c>
      <c r="AF63" s="2">
        <v>53112</v>
      </c>
      <c r="AH63" s="2" t="s">
        <v>54</v>
      </c>
      <c r="AI63" s="2" t="s">
        <v>55</v>
      </c>
      <c r="AJ63" s="2" t="s">
        <v>91</v>
      </c>
      <c r="AL63" s="2" t="s">
        <v>91</v>
      </c>
      <c r="AM63" s="2">
        <v>1</v>
      </c>
      <c r="AS63" s="4">
        <f>Table1[[#This Row],[Total fara TVA]]+Table1[[#This Row],[Total TVA]]</f>
        <v>2792.74</v>
      </c>
      <c r="AT63" s="30">
        <v>2515.98</v>
      </c>
      <c r="AU63" s="14">
        <v>276.76</v>
      </c>
      <c r="AV63" s="4">
        <f>Table1[[#This Row],[Total fara TVA]]+Table1[[#This Row],[Total TVA]]</f>
        <v>2792.74</v>
      </c>
      <c r="AW63" s="2" t="s">
        <v>57</v>
      </c>
      <c r="AX63" s="2">
        <v>11</v>
      </c>
      <c r="AY63" s="34">
        <v>310351</v>
      </c>
    </row>
  </sheetData>
  <phoneticPr fontId="3" type="noConversion"/>
  <pageMargins left="0" right="0" top="0" bottom="0" header="0" footer="0"/>
  <ignoredErrors>
    <ignoredError sqref="A1:BA1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NextUp 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Vlad Claudia</dc:creator>
  <cp:keywords/>
  <dc:description/>
  <cp:lastModifiedBy>Vlad Claudia</cp:lastModifiedBy>
  <cp:revision/>
  <dcterms:created xsi:type="dcterms:W3CDTF">2023-08-25T11:20:24Z</dcterms:created>
  <dcterms:modified xsi:type="dcterms:W3CDTF">2025-09-17T11:22:27Z</dcterms:modified>
  <cp:category/>
  <cp:contentStatus/>
</cp:coreProperties>
</file>