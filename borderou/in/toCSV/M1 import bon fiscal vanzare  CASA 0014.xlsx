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ATO\2025\"/>
    </mc:Choice>
  </mc:AlternateContent>
  <xr:revisionPtr revIDLastSave="0" documentId="13_ncr:1_{4941BE0C-C96C-45C0-AED1-07B1DC448A0E}" xr6:coauthVersionLast="47" xr6:coauthVersionMax="47" xr10:uidLastSave="{00000000-0000-0000-0000-000000000000}"/>
  <bookViews>
    <workbookView xWindow="180" yWindow="1035" windowWidth="15225" windowHeight="14910" xr2:uid="{00000000-000D-0000-FFFF-FFFF00000000}"/>
  </bookViews>
  <sheets>
    <sheet name="NextUp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62" i="1" l="1"/>
  <c r="AS63" i="1"/>
  <c r="AV62" i="1"/>
  <c r="AV63" i="1"/>
  <c r="AS60" i="1"/>
  <c r="AS61" i="1"/>
  <c r="AV60" i="1"/>
  <c r="AV61" i="1"/>
  <c r="AS58" i="1"/>
  <c r="AS59" i="1"/>
  <c r="AV58" i="1"/>
  <c r="AV59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2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</calcChain>
</file>

<file path=xl/sharedStrings.xml><?xml version="1.0" encoding="utf-8"?>
<sst xmlns="http://schemas.openxmlformats.org/spreadsheetml/2006/main" count="551" uniqueCount="92">
  <si>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</si>
  <si>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</si>
  <si>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</si>
  <si>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</si>
  <si>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</si>
  <si>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</si>
  <si>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</si>
  <si>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</si>
  <si>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</si>
  <si>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</si>
  <si>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</si>
  <si>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</si>
  <si>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</si>
  <si>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</si>
  <si>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</si>
  <si>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</si>
  <si>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</si>
  <si>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</si>
  <si>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</si>
  <si>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</si>
  <si>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</si>
  <si>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</si>
  <si>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</si>
  <si>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</si>
  <si>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</si>
  <si>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</si>
  <si>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</si>
  <si>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</si>
  <si>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</si>
  <si>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</si>
  <si>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</si>
  <si>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</si>
  <si>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</si>
  <si>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</si>
  <si>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</si>
  <si>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</si>
  <si>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</si>
  <si>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</si>
  <si>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</si>
  <si>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</si>
  <si>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</si>
  <si>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</si>
  <si>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</si>
  <si>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</si>
  <si>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</si>
  <si>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</si>
  <si>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</si>
  <si>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</si>
  <si>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</si>
  <si>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</si>
  <si>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</si>
  <si>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</si>
  <si>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</si>
  <si>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5125</t>
  </si>
  <si>
    <t>5328</t>
  </si>
  <si>
    <t>4427</t>
  </si>
  <si>
    <t/>
  </si>
  <si>
    <t>Taxabile</t>
  </si>
  <si>
    <t>BFM1 0014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</si>
  <si>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</si>
  <si>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</si>
  <si>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</si>
  <si>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</si>
  <si>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</si>
  <si>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</si>
  <si>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</si>
  <si>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</si>
  <si>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</si>
  <si>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</si>
  <si>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</si>
  <si>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</si>
  <si>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</si>
  <si>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</si>
  <si>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</si>
  <si>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</si>
  <si>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</si>
  <si>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</si>
  <si>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</si>
  <si>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</si>
  <si>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</si>
  <si>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</si>
  <si>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</si>
  <si>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</si>
  <si>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</si>
  <si>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</si>
  <si>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</si>
  <si>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</si>
  <si>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</si>
  <si>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</si>
  <si>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</si>
  <si>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marfa m1 21%</t>
  </si>
  <si>
    <t>marfa m1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</si>
</sst>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;@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sz val="8"/>
      <color rgb="FF000000"/>
      <name val="Times New Roman"/>
      <family val="2"/>
    </font>
    <font>
      <sz val="7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652A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" fontId="5" fillId="0" borderId="3" xfId="0" applyNumberFormat="1" applyFont="1" applyBorder="1" applyAlignment="1">
      <alignment horizontal="center" vertical="top" shrinkToFit="1"/>
    </xf>
    <xf numFmtId="2" fontId="5" fillId="0" borderId="3" xfId="0" applyNumberFormat="1" applyFont="1" applyBorder="1" applyAlignment="1">
      <alignment horizontal="left" vertical="top" indent="1" shrinkToFit="1"/>
    </xf>
    <xf numFmtId="0" fontId="2" fillId="4" borderId="0" xfId="0" applyFont="1" applyFill="1"/>
    <xf numFmtId="0" fontId="0" fillId="4" borderId="0" xfId="0" applyFill="1"/>
    <xf numFmtId="2" fontId="0" fillId="0" borderId="0" xfId="0" applyNumberFormat="1"/>
    <xf numFmtId="2" fontId="5" fillId="0" borderId="3" xfId="0" applyNumberFormat="1" applyFont="1" applyBorder="1" applyAlignment="1">
      <alignment vertical="top" shrinkToFit="1"/>
    </xf>
    <xf numFmtId="164" fontId="5" fillId="0" borderId="3" xfId="0" applyNumberFormat="1" applyFont="1" applyBorder="1" applyAlignment="1">
      <alignment vertical="top" shrinkToFit="1"/>
    </xf>
    <xf numFmtId="2" fontId="4" fillId="0" borderId="2" xfId="0" applyNumberFormat="1" applyFont="1" applyBorder="1" applyAlignment="1">
      <alignment horizontal="left" vertical="top" shrinkToFit="1"/>
    </xf>
    <xf numFmtId="0" fontId="1" fillId="0" borderId="1" xfId="0" applyFont="1" applyBorder="1"/>
    <xf numFmtId="0" fontId="2" fillId="5" borderId="0" xfId="0" applyFont="1" applyFill="1"/>
    <xf numFmtId="0" fontId="0" fillId="5" borderId="0" xfId="0" applyFill="1"/>
    <xf numFmtId="2" fontId="5" fillId="5" borderId="3" xfId="0" applyNumberFormat="1" applyFont="1" applyFill="1" applyBorder="1" applyAlignment="1">
      <alignment horizontal="left" vertical="top" indent="1" shrinkToFit="1"/>
    </xf>
    <xf numFmtId="2" fontId="4" fillId="5" borderId="2" xfId="0" applyNumberFormat="1" applyFont="1" applyFill="1" applyBorder="1" applyAlignment="1">
      <alignment horizontal="left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2" fontId="5" fillId="3" borderId="3" xfId="0" applyNumberFormat="1" applyFont="1" applyFill="1" applyBorder="1" applyAlignment="1">
      <alignment vertical="top" shrinkToFit="1"/>
    </xf>
    <xf numFmtId="165" fontId="5" fillId="0" borderId="3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left" vertical="top" indent="2" shrinkToFit="1"/>
    </xf>
    <xf numFmtId="4" fontId="5" fillId="0" borderId="3" xfId="0" applyNumberFormat="1" applyFont="1" applyBorder="1" applyAlignment="1">
      <alignment horizontal="left" vertical="top" indent="1" shrinkToFit="1"/>
    </xf>
    <xf numFmtId="166" fontId="5" fillId="0" borderId="3" xfId="0" applyNumberFormat="1" applyFont="1" applyBorder="1" applyAlignment="1">
      <alignment horizontal="left" vertical="top" indent="1" shrinkToFit="1"/>
    </xf>
    <xf numFmtId="4" fontId="5" fillId="3" borderId="3" xfId="0" applyNumberFormat="1" applyFont="1" applyFill="1" applyBorder="1" applyAlignment="1">
      <alignment horizontal="right" vertical="top" shrinkToFit="1"/>
    </xf>
    <xf numFmtId="4" fontId="5" fillId="0" borderId="3" xfId="0" applyNumberFormat="1" applyFont="1" applyBorder="1" applyAlignment="1">
      <alignment horizontal="right" vertical="top" shrinkToFit="1"/>
    </xf>
    <xf numFmtId="166" fontId="5" fillId="0" borderId="3" xfId="0" applyNumberFormat="1" applyFont="1" applyBorder="1" applyAlignment="1">
      <alignment horizontal="right" vertical="top" shrinkToFit="1"/>
    </xf>
    <xf numFmtId="165" fontId="5" fillId="3" borderId="3" xfId="0" applyNumberFormat="1" applyFont="1" applyFill="1" applyBorder="1" applyAlignment="1">
      <alignment horizontal="center" vertical="top" shrinkToFit="1"/>
    </xf>
    <xf numFmtId="4" fontId="5" fillId="3" borderId="3" xfId="0" applyNumberFormat="1" applyFont="1" applyFill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vertical="top" shrinkToFit="1"/>
    </xf>
    <xf numFmtId="4" fontId="5" fillId="3" borderId="3" xfId="0" applyNumberFormat="1" applyFont="1" applyFill="1" applyBorder="1" applyAlignment="1">
      <alignment horizontal="center" vertical="top" shrinkToFit="1"/>
    </xf>
    <xf numFmtId="4" fontId="5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</dxf>
    <dxf>
      <numFmt numFmtId="2" formatCode="0.00"/>
    </dxf>
    <dxf>
      <font>
        <sz val="7"/>
        <color rgb="FF000000"/>
        <name val="Segoe UI"/>
        <family val="2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8"/>
        <color auto="1"/>
        <name val="Times New Roman"/>
        <family val="1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numFmt numFmtId="2" formatCode="0.00"/>
    </dxf>
    <dxf>
      <numFmt numFmtId="2" formatCode="0.00"/>
      <alignment horizontal="general" vertical="center" textRotation="0" wrapText="0" indent="0" justifyLastLine="0" shrinkToFit="1" readingOrder="0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165" formatCode="dd\-mm\-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1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left/>
        <right/>
        <top/>
        <bottom style="dashed">
          <color rgb="FF000000"/>
        </bottom>
      </border>
    </dxf>
    <dxf>
      <font>
        <b/>
        <sz val="11"/>
        <name val="Century Gothic"/>
      </font>
      <fill>
        <patternFill patternType="solid">
          <bgColor rgb="FFF652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63" totalsRowShown="0" headerRowDxfId="25" headerRowBorderDxfId="24">
  <autoFilter ref="A1:BA63" xr:uid="{00000000-0009-0000-0100-000001000000}"/>
  <tableColumns count="53">
    <tableColumn id="1" xr3:uid="{00000000-0010-0000-0000-000001000000}" name="Serie document"/>
    <tableColumn id="2" xr3:uid="{00000000-0010-0000-0000-000002000000}" name="Numar document"/>
    <tableColumn id="3" xr3:uid="{00000000-0010-0000-0000-000003000000}" name="Cod depozit"/>
    <tableColumn id="4" xr3:uid="{00000000-0010-0000-0000-000004000000}" name="Nume depozit"/>
    <tableColumn id="5" xr3:uid="{00000000-0010-0000-0000-000005000000}" name="Data document" dataDxfId="23"/>
    <tableColumn id="6" xr3:uid="{00000000-0010-0000-0000-000006000000}" name="Data scadenta" dataDxfId="22"/>
    <tableColumn id="7" xr3:uid="{00000000-0010-0000-0000-000007000000}" name="Cod tip factura SAF-T" dataDxfId="21">
      <calculatedColumnFormula>SUM(Table1[[#This Row],[Valoare TVA]],Table1[[#This Row],[Valoare neta totala]])</calculatedColumnFormula>
    </tableColumn>
    <tableColumn id="8" xr3:uid="{00000000-0010-0000-0000-000008000000}" name="Cod partener"/>
    <tableColumn id="9" xr3:uid="{00000000-0010-0000-0000-000009000000}" name="Nume partener"/>
    <tableColumn id="10" xr3:uid="{00000000-0010-0000-0000-00000A000000}" name="Atribut fiscal"/>
    <tableColumn id="11" xr3:uid="{00000000-0010-0000-0000-00000B000000}" name="Cod fiscal"/>
    <tableColumn id="12" xr3:uid="{00000000-0010-0000-0000-00000C000000}" name="Nr.Reg.Com."/>
    <tableColumn id="13" xr3:uid="{00000000-0010-0000-0000-00000D000000}" name="Rezidenta"/>
    <tableColumn id="14" xr3:uid="{00000000-0010-0000-0000-00000E000000}" name="Tara"/>
    <tableColumn id="15" xr3:uid="{00000000-0010-0000-0000-00000F000000}" name="Judet"/>
    <tableColumn id="16" xr3:uid="{00000000-0010-0000-0000-000010000000}" name="Localitate"/>
    <tableColumn id="17" xr3:uid="{00000000-0010-0000-0000-000011000000}" name="Strada"/>
    <tableColumn id="18" xr3:uid="{00000000-0010-0000-0000-000012000000}" name="Numar"/>
    <tableColumn id="19" xr3:uid="{00000000-0010-0000-0000-000013000000}" name="Bloc"/>
    <tableColumn id="20" xr3:uid="{00000000-0010-0000-0000-000014000000}" name="Scara"/>
    <tableColumn id="21" xr3:uid="{00000000-0010-0000-0000-000015000000}" name="Etaj"/>
    <tableColumn id="22" xr3:uid="{00000000-0010-0000-0000-000016000000}" name="Apartament"/>
    <tableColumn id="23" xr3:uid="{00000000-0010-0000-0000-000017000000}" name="Cod postal"/>
    <tableColumn id="24" xr3:uid="{00000000-0010-0000-0000-000018000000}" name="Cod agent"/>
    <tableColumn id="25" xr3:uid="{00000000-0010-0000-0000-000019000000}" name="Valoare neta totala" dataDxfId="20" totalsRowDxfId="19"/>
    <tableColumn id="26" xr3:uid="{00000000-0010-0000-0000-00001A000000}" name="Valoare TVA" dataDxfId="18" totalsRowDxfId="17"/>
    <tableColumn id="27" xr3:uid="{00000000-0010-0000-0000-00001B000000}" name="Total document" dataDxfId="16" totalsRowDxfId="15"/>
    <tableColumn id="28" xr3:uid="{00000000-0010-0000-0000-00001C000000}" name="Numar bonuri fiscale" totalsRowDxfId="14"/>
    <tableColumn id="29" xr3:uid="{00000000-0010-0000-0000-00001D000000}" name="Card" totalsRowDxfId="13"/>
    <tableColumn id="30" xr3:uid="{00000000-0010-0000-0000-00001E000000}" name="Cont banca" totalsRowDxfId="12"/>
    <tableColumn id="31" xr3:uid="{00000000-0010-0000-0000-00001F000000}" name="Numerar" dataDxfId="11" totalsRowDxfId="10"/>
    <tableColumn id="32" xr3:uid="{00000000-0010-0000-0000-000020000000}" name="Cont casa"/>
    <tableColumn id="33" xr3:uid="{00000000-0010-0000-0000-000021000000}" name="Tichete"/>
    <tableColumn id="34" xr3:uid="{00000000-0010-0000-0000-000022000000}" name="Cont tichete"/>
    <tableColumn id="35" xr3:uid="{00000000-0010-0000-0000-000023000000}" name="Cont TVA"/>
    <tableColumn id="36" xr3:uid="{00000000-0010-0000-0000-000024000000}" name="Cod articol" dataDxfId="9" totalsRowDxfId="8"/>
    <tableColumn id="37" xr3:uid="{00000000-0010-0000-0000-000025000000}" name="Cod de bare"/>
    <tableColumn id="38" xr3:uid="{00000000-0010-0000-0000-000026000000}" name="Denumire articol"/>
    <tableColumn id="39" xr3:uid="{00000000-0010-0000-0000-000027000000}" name="Cantitate"/>
    <tableColumn id="40" xr3:uid="{00000000-0010-0000-0000-000028000000}" name="Cod lot"/>
    <tableColumn id="41" xr3:uid="{00000000-0010-0000-0000-000029000000}" name="Data expirare"/>
    <tableColumn id="42" xr3:uid="{00000000-0010-0000-0000-00002A000000}" name="Nr seriale"/>
    <tableColumn id="43" xr3:uid="{00000000-0010-0000-0000-00002B000000}" name="Tip miscare SAF-T"/>
    <tableColumn id="44" xr3:uid="{00000000-0010-0000-0000-00002C000000}" name="Cont serviciu"/>
    <tableColumn id="45" xr3:uid="{00000000-0010-0000-0000-00002D000000}" name="Pret cu TVA" dataDxfId="7" totalsRowDxfId="6">
      <calculatedColumnFormula>Table1[[#This Row],[Total fara TVA]]+Table1[[#This Row],[Total TVA]]</calculatedColumnFormula>
    </tableColumn>
    <tableColumn id="46" xr3:uid="{00000000-0010-0000-0000-00002E000000}" name="Total fara TVA" dataDxfId="1" totalsRowDxfId="5"/>
    <tableColumn id="47" xr3:uid="{00000000-0010-0000-0000-00002F000000}" name="Total TVA" dataDxfId="0" totalsRowDxfId="4"/>
    <tableColumn id="48" xr3:uid="{00000000-0010-0000-0000-000030000000}" name="Total cu TVA" dataDxfId="3" totalsRowDxfId="2">
      <calculatedColumnFormula>Table1[[#This Row],[Total fara TVA]]+Table1[[#This Row],[Total TVA]]</calculatedColumnFormula>
    </tableColumn>
    <tableColumn id="49" xr3:uid="{00000000-0010-0000-0000-000031000000}" name="Optiune TVA"/>
    <tableColumn id="50" xr3:uid="{00000000-0010-0000-0000-000032000000}" name="Cota TVA"/>
    <tableColumn id="51" xr3:uid="{00000000-0010-0000-0000-000033000000}" name="Cod TVA SAF-T"/>
    <tableColumn id="52" xr3:uid="{00000000-0010-0000-0000-000034000000}" name="Discount"/>
    <tableColumn id="53" xr3:uid="{00000000-0010-0000-0000-000035000000}" name="DiscountLini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63"/>
  <sheetViews>
    <sheetView tabSelected="1" topLeftCell="AS16" workbookViewId="0">
      <selection activeCell="AJ33" sqref="AJ33:AJ63"/>
    </sheetView>
  </sheetViews>
  <sheetFormatPr defaultRowHeight="15" x14ac:dyDescent="0.25"/>
  <cols>
    <col min="1" max="1" width="14.28515625" customWidth="1"/>
    <col min="2" max="2" width="9" customWidth="1"/>
    <col min="3" max="3" width="6.7109375" customWidth="1"/>
    <col min="4" max="4" width="5.5703125" customWidth="1"/>
    <col min="5" max="5" width="17.5703125" customWidth="1"/>
    <col min="6" max="6" width="14.28515625" customWidth="1"/>
    <col min="7" max="7" width="6.7109375" customWidth="1"/>
    <col min="8" max="24" width="14.28515625" hidden="1" customWidth="1"/>
    <col min="25" max="25" width="17.85546875" customWidth="1"/>
    <col min="26" max="26" width="14.28515625" customWidth="1"/>
    <col min="27" max="27" width="16" customWidth="1"/>
    <col min="28" max="28" width="17.5703125" customWidth="1"/>
    <col min="29" max="29" width="8.28515625" customWidth="1"/>
    <col min="30" max="30" width="8.5703125" customWidth="1"/>
    <col min="31" max="31" width="13.140625" customWidth="1"/>
    <col min="32" max="32" width="9.5703125" customWidth="1"/>
    <col min="33" max="33" width="7.7109375" customWidth="1"/>
    <col min="34" max="34" width="8.5703125" customWidth="1"/>
    <col min="35" max="35" width="8.140625" customWidth="1"/>
    <col min="36" max="36" width="20.5703125" customWidth="1"/>
    <col min="37" max="37" width="14.28515625" customWidth="1"/>
    <col min="38" max="38" width="27.5703125" customWidth="1"/>
    <col min="39" max="44" width="14.28515625" customWidth="1"/>
    <col min="45" max="45" width="15.5703125" customWidth="1"/>
    <col min="46" max="46" width="17.28515625" customWidth="1"/>
    <col min="47" max="47" width="14.28515625" customWidth="1"/>
    <col min="48" max="48" width="16.28515625" customWidth="1"/>
    <col min="49" max="49" width="10.7109375" customWidth="1"/>
    <col min="50" max="50" width="8.140625" customWidth="1"/>
    <col min="51" max="53" width="14.2851562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6.5" x14ac:dyDescent="0.3">
      <c r="A2" s="2" t="s">
        <v>58</v>
      </c>
      <c r="B2" s="16">
        <v>1501</v>
      </c>
      <c r="C2" s="2">
        <v>1</v>
      </c>
      <c r="D2" s="2"/>
      <c r="E2" s="25" t="s">
        <v>59</v>
      </c>
      <c r="F2" s="25" t="s">
        <v>59</v>
      </c>
      <c r="G2" s="2">
        <v>380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6">
        <v>1580.22</v>
      </c>
      <c r="Z2" s="17">
        <v>331.85</v>
      </c>
      <c r="AA2" s="28">
        <v>5612.3</v>
      </c>
      <c r="AB2" s="2"/>
      <c r="AC2" s="2">
        <v>0</v>
      </c>
      <c r="AD2" s="2" t="s">
        <v>53</v>
      </c>
      <c r="AE2" s="28">
        <v>5612.3</v>
      </c>
      <c r="AF2" s="2">
        <v>53111</v>
      </c>
      <c r="AG2" s="2">
        <v>0</v>
      </c>
      <c r="AH2" s="2" t="s">
        <v>54</v>
      </c>
      <c r="AI2" s="2" t="s">
        <v>55</v>
      </c>
      <c r="AJ2" s="2" t="s">
        <v>90</v>
      </c>
      <c r="AK2" s="2"/>
      <c r="AL2" s="2"/>
      <c r="AM2" s="2">
        <v>1</v>
      </c>
      <c r="AN2" s="2"/>
      <c r="AO2" s="2"/>
      <c r="AP2" s="2" t="s">
        <v>56</v>
      </c>
      <c r="AQ2" s="2"/>
      <c r="AR2" s="2"/>
      <c r="AS2" s="4">
        <f>Table1[[#This Row],[Total fara TVA]]+Table1[[#This Row],[Total TVA]]</f>
        <v>1912.0700000000002</v>
      </c>
      <c r="AT2" s="26">
        <v>1580.22</v>
      </c>
      <c r="AU2" s="17">
        <v>331.85</v>
      </c>
      <c r="AV2" s="10">
        <f>Table1[[#This Row],[Total fara TVA]]+Table1[[#This Row],[Total TVA]]</f>
        <v>1912.0700000000002</v>
      </c>
      <c r="AW2" s="2" t="s">
        <v>57</v>
      </c>
      <c r="AX2" s="2">
        <v>21</v>
      </c>
      <c r="AY2" s="2">
        <v>310344</v>
      </c>
      <c r="AZ2" s="2"/>
      <c r="BA2" s="2"/>
    </row>
    <row r="3" spans="1:53" ht="16.5" x14ac:dyDescent="0.3">
      <c r="A3" s="2" t="s">
        <v>58</v>
      </c>
      <c r="B3" s="3">
        <v>1502</v>
      </c>
      <c r="C3" s="2">
        <v>1</v>
      </c>
      <c r="D3" s="2"/>
      <c r="E3" s="18" t="s">
        <v>60</v>
      </c>
      <c r="F3" s="18" t="s">
        <v>60</v>
      </c>
      <c r="G3" s="2">
        <v>380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0">
        <v>1165.6400000000001</v>
      </c>
      <c r="Z3" s="8">
        <v>244.78</v>
      </c>
      <c r="AA3" s="29">
        <v>5709.63</v>
      </c>
      <c r="AB3" s="2"/>
      <c r="AC3" s="2">
        <v>0</v>
      </c>
      <c r="AD3" s="2" t="s">
        <v>53</v>
      </c>
      <c r="AE3" s="29">
        <v>5709.63</v>
      </c>
      <c r="AF3" s="2">
        <v>53111</v>
      </c>
      <c r="AG3" s="2">
        <v>0</v>
      </c>
      <c r="AH3" s="2" t="s">
        <v>54</v>
      </c>
      <c r="AI3" s="2" t="s">
        <v>55</v>
      </c>
      <c r="AJ3" s="2" t="s">
        <v>90</v>
      </c>
      <c r="AK3" s="2"/>
      <c r="AL3" s="2"/>
      <c r="AM3" s="2">
        <v>1</v>
      </c>
      <c r="AN3" s="2"/>
      <c r="AO3" s="2"/>
      <c r="AP3" s="2" t="s">
        <v>56</v>
      </c>
      <c r="AQ3" s="2"/>
      <c r="AR3" s="2"/>
      <c r="AS3" s="4">
        <f>Table1[[#This Row],[Total fara TVA]]+Table1[[#This Row],[Total TVA]]</f>
        <v>1410.42</v>
      </c>
      <c r="AT3" s="20">
        <v>1165.6400000000001</v>
      </c>
      <c r="AU3" s="8">
        <v>244.78</v>
      </c>
      <c r="AV3" s="10">
        <f>Table1[[#This Row],[Total fara TVA]]+Table1[[#This Row],[Total TVA]]</f>
        <v>1410.42</v>
      </c>
      <c r="AW3" s="2" t="s">
        <v>57</v>
      </c>
      <c r="AX3" s="2">
        <v>21</v>
      </c>
      <c r="AY3" s="2">
        <v>310344</v>
      </c>
      <c r="AZ3" s="2"/>
      <c r="BA3" s="2"/>
    </row>
    <row r="4" spans="1:53" ht="16.5" x14ac:dyDescent="0.3">
      <c r="A4" s="2" t="s">
        <v>58</v>
      </c>
      <c r="B4" s="3">
        <v>1503</v>
      </c>
      <c r="C4" s="2">
        <v>1</v>
      </c>
      <c r="E4" s="18" t="s">
        <v>61</v>
      </c>
      <c r="F4" s="18" t="s">
        <v>61</v>
      </c>
      <c r="G4" s="2">
        <v>380</v>
      </c>
      <c r="Y4" s="20">
        <v>1887.17</v>
      </c>
      <c r="Z4" s="8">
        <v>396.31</v>
      </c>
      <c r="AA4" s="29">
        <v>5460.52</v>
      </c>
      <c r="AC4" s="2">
        <v>0</v>
      </c>
      <c r="AD4" s="2" t="s">
        <v>53</v>
      </c>
      <c r="AE4" s="29">
        <v>5460.52</v>
      </c>
      <c r="AF4" s="2">
        <v>53111</v>
      </c>
      <c r="AG4" s="2">
        <v>0</v>
      </c>
      <c r="AH4" s="2" t="s">
        <v>54</v>
      </c>
      <c r="AI4" s="2" t="s">
        <v>55</v>
      </c>
      <c r="AJ4" s="2" t="s">
        <v>90</v>
      </c>
      <c r="AM4" s="2">
        <v>1</v>
      </c>
      <c r="AS4" s="4">
        <f>Table1[[#This Row],[Total fara TVA]]+Table1[[#This Row],[Total TVA]]</f>
        <v>2283.48</v>
      </c>
      <c r="AT4" s="20">
        <v>1887.17</v>
      </c>
      <c r="AU4" s="8">
        <v>396.31</v>
      </c>
      <c r="AV4" s="10">
        <f>Table1[[#This Row],[Total fara TVA]]+Table1[[#This Row],[Total TVA]]</f>
        <v>2283.48</v>
      </c>
      <c r="AW4" s="2" t="s">
        <v>57</v>
      </c>
      <c r="AX4" s="2">
        <v>21</v>
      </c>
      <c r="AY4" s="2">
        <v>310344</v>
      </c>
    </row>
    <row r="5" spans="1:53" ht="16.5" x14ac:dyDescent="0.3">
      <c r="A5" s="2" t="s">
        <v>58</v>
      </c>
      <c r="B5" s="3">
        <v>1504</v>
      </c>
      <c r="C5" s="2">
        <v>1</v>
      </c>
      <c r="E5" s="18" t="s">
        <v>62</v>
      </c>
      <c r="F5" s="18" t="s">
        <v>62</v>
      </c>
      <c r="G5" s="2">
        <v>380</v>
      </c>
      <c r="Y5" s="20">
        <v>1137.78</v>
      </c>
      <c r="Z5" s="8">
        <v>238.93</v>
      </c>
      <c r="AA5" s="29">
        <v>5470.96</v>
      </c>
      <c r="AC5" s="2">
        <v>0</v>
      </c>
      <c r="AD5" s="2" t="s">
        <v>53</v>
      </c>
      <c r="AE5" s="29">
        <v>5470.96</v>
      </c>
      <c r="AF5" s="2">
        <v>53111</v>
      </c>
      <c r="AG5" s="2">
        <v>0</v>
      </c>
      <c r="AH5" s="2" t="s">
        <v>54</v>
      </c>
      <c r="AI5" s="2" t="s">
        <v>55</v>
      </c>
      <c r="AJ5" s="2" t="s">
        <v>90</v>
      </c>
      <c r="AM5" s="2">
        <v>1</v>
      </c>
      <c r="AS5" s="4">
        <f>Table1[[#This Row],[Total fara TVA]]+Table1[[#This Row],[Total TVA]]</f>
        <v>1376.71</v>
      </c>
      <c r="AT5" s="20">
        <v>1137.78</v>
      </c>
      <c r="AU5" s="8">
        <v>238.93</v>
      </c>
      <c r="AV5" s="10">
        <f>Table1[[#This Row],[Total fara TVA]]+Table1[[#This Row],[Total TVA]]</f>
        <v>1376.71</v>
      </c>
      <c r="AW5" s="2" t="s">
        <v>57</v>
      </c>
      <c r="AX5" s="2">
        <v>21</v>
      </c>
      <c r="AY5" s="2">
        <v>310344</v>
      </c>
    </row>
    <row r="6" spans="1:53" ht="16.5" x14ac:dyDescent="0.3">
      <c r="A6" s="2" t="s">
        <v>58</v>
      </c>
      <c r="B6" s="3">
        <v>1505</v>
      </c>
      <c r="C6" s="2">
        <v>1</v>
      </c>
      <c r="E6" s="18" t="s">
        <v>63</v>
      </c>
      <c r="F6" s="18" t="s">
        <v>63</v>
      </c>
      <c r="G6" s="2">
        <v>380</v>
      </c>
      <c r="Y6" s="20">
        <v>1745.21</v>
      </c>
      <c r="Z6" s="9">
        <v>366.5</v>
      </c>
      <c r="AA6" s="29">
        <v>7485.96</v>
      </c>
      <c r="AC6" s="2">
        <v>0</v>
      </c>
      <c r="AD6" s="2" t="s">
        <v>53</v>
      </c>
      <c r="AE6" s="29">
        <v>7485.96</v>
      </c>
      <c r="AF6" s="2">
        <v>53111</v>
      </c>
      <c r="AG6" s="2">
        <v>0</v>
      </c>
      <c r="AH6" s="2" t="s">
        <v>54</v>
      </c>
      <c r="AI6" s="2" t="s">
        <v>55</v>
      </c>
      <c r="AJ6" s="2" t="s">
        <v>90</v>
      </c>
      <c r="AM6" s="2">
        <v>1</v>
      </c>
      <c r="AS6" s="4">
        <f>Table1[[#This Row],[Total fara TVA]]+Table1[[#This Row],[Total TVA]]</f>
        <v>2111.71</v>
      </c>
      <c r="AT6" s="20">
        <v>1745.21</v>
      </c>
      <c r="AU6" s="9">
        <v>366.5</v>
      </c>
      <c r="AV6" s="10">
        <f>Table1[[#This Row],[Total fara TVA]]+Table1[[#This Row],[Total TVA]]</f>
        <v>2111.71</v>
      </c>
      <c r="AW6" s="2" t="s">
        <v>57</v>
      </c>
      <c r="AX6" s="2">
        <v>21</v>
      </c>
      <c r="AY6" s="2">
        <v>310344</v>
      </c>
    </row>
    <row r="7" spans="1:53" ht="16.5" x14ac:dyDescent="0.3">
      <c r="A7" s="2" t="s">
        <v>58</v>
      </c>
      <c r="B7" s="3">
        <v>1506</v>
      </c>
      <c r="C7" s="2">
        <v>1</v>
      </c>
      <c r="E7" s="18" t="s">
        <v>64</v>
      </c>
      <c r="F7" s="18" t="s">
        <v>64</v>
      </c>
      <c r="G7" s="2">
        <v>380</v>
      </c>
      <c r="Y7" s="20">
        <v>2456.58</v>
      </c>
      <c r="Z7" s="8">
        <v>515.88</v>
      </c>
      <c r="AA7" s="29">
        <v>7318.67</v>
      </c>
      <c r="AC7" s="2">
        <v>0</v>
      </c>
      <c r="AD7" s="2" t="s">
        <v>53</v>
      </c>
      <c r="AE7" s="29">
        <v>7318.67</v>
      </c>
      <c r="AF7" s="2">
        <v>53111</v>
      </c>
      <c r="AG7" s="2">
        <v>0</v>
      </c>
      <c r="AH7" s="2" t="s">
        <v>54</v>
      </c>
      <c r="AI7" s="2" t="s">
        <v>55</v>
      </c>
      <c r="AJ7" s="2" t="s">
        <v>90</v>
      </c>
      <c r="AM7" s="2">
        <v>1</v>
      </c>
      <c r="AS7" s="4">
        <f>Table1[[#This Row],[Total fara TVA]]+Table1[[#This Row],[Total TVA]]</f>
        <v>2972.46</v>
      </c>
      <c r="AT7" s="20">
        <v>2456.58</v>
      </c>
      <c r="AU7" s="8">
        <v>515.88</v>
      </c>
      <c r="AV7" s="10">
        <f>Table1[[#This Row],[Total fara TVA]]+Table1[[#This Row],[Total TVA]]</f>
        <v>2972.46</v>
      </c>
      <c r="AW7" s="2" t="s">
        <v>57</v>
      </c>
      <c r="AX7" s="2">
        <v>21</v>
      </c>
      <c r="AY7" s="2">
        <v>310344</v>
      </c>
    </row>
    <row r="8" spans="1:53" ht="16.5" x14ac:dyDescent="0.3">
      <c r="A8" s="2" t="s">
        <v>58</v>
      </c>
      <c r="B8" s="3">
        <v>1507</v>
      </c>
      <c r="C8" s="2">
        <v>1</v>
      </c>
      <c r="E8" s="18" t="s">
        <v>65</v>
      </c>
      <c r="F8" s="18" t="s">
        <v>65</v>
      </c>
      <c r="G8" s="2">
        <v>380</v>
      </c>
      <c r="Y8" s="20">
        <v>1220.67</v>
      </c>
      <c r="Z8" s="8">
        <v>256.33999999999997</v>
      </c>
      <c r="AA8" s="29">
        <v>6244.8</v>
      </c>
      <c r="AC8" s="2">
        <v>0</v>
      </c>
      <c r="AD8" s="2" t="s">
        <v>53</v>
      </c>
      <c r="AE8" s="29">
        <v>6244.8</v>
      </c>
      <c r="AF8" s="2">
        <v>53111</v>
      </c>
      <c r="AG8" s="2">
        <v>0</v>
      </c>
      <c r="AH8" s="2" t="s">
        <v>54</v>
      </c>
      <c r="AI8" s="2" t="s">
        <v>55</v>
      </c>
      <c r="AJ8" s="2" t="s">
        <v>90</v>
      </c>
      <c r="AM8" s="2">
        <v>1</v>
      </c>
      <c r="AS8" s="4">
        <f>Table1[[#This Row],[Total fara TVA]]+Table1[[#This Row],[Total TVA]]</f>
        <v>1477.01</v>
      </c>
      <c r="AT8" s="20">
        <v>1220.67</v>
      </c>
      <c r="AU8" s="8">
        <v>256.33999999999997</v>
      </c>
      <c r="AV8" s="10">
        <f>Table1[[#This Row],[Total fara TVA]]+Table1[[#This Row],[Total TVA]]</f>
        <v>1477.01</v>
      </c>
      <c r="AW8" s="2" t="s">
        <v>57</v>
      </c>
      <c r="AX8" s="2">
        <v>21</v>
      </c>
      <c r="AY8" s="2">
        <v>310344</v>
      </c>
    </row>
    <row r="9" spans="1:53" ht="16.5" x14ac:dyDescent="0.3">
      <c r="A9" s="2" t="s">
        <v>58</v>
      </c>
      <c r="B9" s="3">
        <v>1508</v>
      </c>
      <c r="C9" s="2">
        <v>1</v>
      </c>
      <c r="E9" s="18" t="s">
        <v>66</v>
      </c>
      <c r="F9" s="18" t="s">
        <v>66</v>
      </c>
      <c r="G9" s="2">
        <v>380</v>
      </c>
      <c r="Y9" s="20">
        <v>1143.19</v>
      </c>
      <c r="Z9" s="8">
        <v>240.07</v>
      </c>
      <c r="AA9" s="29">
        <v>6815.1</v>
      </c>
      <c r="AC9" s="2">
        <v>0</v>
      </c>
      <c r="AD9" s="2" t="s">
        <v>53</v>
      </c>
      <c r="AE9" s="29">
        <v>6815.1</v>
      </c>
      <c r="AF9" s="2">
        <v>53111</v>
      </c>
      <c r="AG9" s="2">
        <v>0</v>
      </c>
      <c r="AH9" s="2" t="s">
        <v>54</v>
      </c>
      <c r="AI9" s="2" t="s">
        <v>55</v>
      </c>
      <c r="AJ9" s="2" t="s">
        <v>90</v>
      </c>
      <c r="AM9" s="2">
        <v>1</v>
      </c>
      <c r="AS9" s="4">
        <f>Table1[[#This Row],[Total fara TVA]]+Table1[[#This Row],[Total TVA]]</f>
        <v>1383.26</v>
      </c>
      <c r="AT9" s="20">
        <v>1143.19</v>
      </c>
      <c r="AU9" s="8">
        <v>240.07</v>
      </c>
      <c r="AV9" s="10">
        <f>Table1[[#This Row],[Total fara TVA]]+Table1[[#This Row],[Total TVA]]</f>
        <v>1383.26</v>
      </c>
      <c r="AW9" s="2" t="s">
        <v>57</v>
      </c>
      <c r="AX9" s="2">
        <v>21</v>
      </c>
      <c r="AY9" s="2">
        <v>310344</v>
      </c>
    </row>
    <row r="10" spans="1:53" ht="16.5" x14ac:dyDescent="0.3">
      <c r="A10" s="2" t="s">
        <v>58</v>
      </c>
      <c r="B10" s="3">
        <v>1509</v>
      </c>
      <c r="C10" s="2">
        <v>1</v>
      </c>
      <c r="E10" s="18" t="s">
        <v>67</v>
      </c>
      <c r="F10" s="18" t="s">
        <v>67</v>
      </c>
      <c r="G10" s="2">
        <v>380</v>
      </c>
      <c r="Y10" s="20">
        <v>1734.23</v>
      </c>
      <c r="Z10" s="8">
        <v>364.19</v>
      </c>
      <c r="AA10" s="29">
        <v>6457.3</v>
      </c>
      <c r="AC10" s="2">
        <v>0</v>
      </c>
      <c r="AD10" s="2" t="s">
        <v>53</v>
      </c>
      <c r="AE10" s="29">
        <v>6457.3</v>
      </c>
      <c r="AF10" s="2">
        <v>53111</v>
      </c>
      <c r="AG10" s="2">
        <v>0</v>
      </c>
      <c r="AH10" s="2" t="s">
        <v>54</v>
      </c>
      <c r="AI10" s="2" t="s">
        <v>55</v>
      </c>
      <c r="AJ10" s="2" t="s">
        <v>90</v>
      </c>
      <c r="AM10" s="2">
        <v>1</v>
      </c>
      <c r="AS10" s="4">
        <f>Table1[[#This Row],[Total fara TVA]]+Table1[[#This Row],[Total TVA]]</f>
        <v>2098.42</v>
      </c>
      <c r="AT10" s="20">
        <v>1734.23</v>
      </c>
      <c r="AU10" s="8">
        <v>364.19</v>
      </c>
      <c r="AV10" s="10">
        <f>Table1[[#This Row],[Total fara TVA]]+Table1[[#This Row],[Total TVA]]</f>
        <v>2098.42</v>
      </c>
      <c r="AW10" s="2" t="s">
        <v>57</v>
      </c>
      <c r="AX10" s="2">
        <v>21</v>
      </c>
      <c r="AY10" s="2">
        <v>310344</v>
      </c>
    </row>
    <row r="11" spans="1:53" ht="16.5" x14ac:dyDescent="0.3">
      <c r="A11" s="2" t="s">
        <v>58</v>
      </c>
      <c r="B11" s="3">
        <v>1510</v>
      </c>
      <c r="C11" s="2">
        <v>1</v>
      </c>
      <c r="E11" s="18" t="s">
        <v>68</v>
      </c>
      <c r="F11" s="18" t="s">
        <v>68</v>
      </c>
      <c r="G11" s="2">
        <v>380</v>
      </c>
      <c r="Y11" s="20">
        <v>2176.48</v>
      </c>
      <c r="Z11" s="8">
        <v>457.06</v>
      </c>
      <c r="AA11" s="29">
        <v>7436.52</v>
      </c>
      <c r="AC11" s="2">
        <v>0</v>
      </c>
      <c r="AD11" s="2" t="s">
        <v>53</v>
      </c>
      <c r="AE11" s="29">
        <v>7436.52</v>
      </c>
      <c r="AF11" s="2">
        <v>53111</v>
      </c>
      <c r="AG11" s="2">
        <v>0</v>
      </c>
      <c r="AH11" s="2" t="s">
        <v>54</v>
      </c>
      <c r="AI11" s="2" t="s">
        <v>55</v>
      </c>
      <c r="AJ11" s="2" t="s">
        <v>90</v>
      </c>
      <c r="AM11" s="2">
        <v>1</v>
      </c>
      <c r="AS11" s="4">
        <f>Table1[[#This Row],[Total fara TVA]]+Table1[[#This Row],[Total TVA]]</f>
        <v>2633.54</v>
      </c>
      <c r="AT11" s="20">
        <v>2176.48</v>
      </c>
      <c r="AU11" s="8">
        <v>457.06</v>
      </c>
      <c r="AV11" s="10">
        <f>Table1[[#This Row],[Total fara TVA]]+Table1[[#This Row],[Total TVA]]</f>
        <v>2633.54</v>
      </c>
      <c r="AW11" s="2" t="s">
        <v>57</v>
      </c>
      <c r="AX11" s="2">
        <v>21</v>
      </c>
      <c r="AY11" s="2">
        <v>310344</v>
      </c>
    </row>
    <row r="12" spans="1:53" ht="16.5" x14ac:dyDescent="0.3">
      <c r="A12" s="2" t="s">
        <v>58</v>
      </c>
      <c r="B12" s="3">
        <v>1511</v>
      </c>
      <c r="C12" s="2">
        <v>1</v>
      </c>
      <c r="E12" s="18" t="s">
        <v>69</v>
      </c>
      <c r="F12" s="18" t="s">
        <v>69</v>
      </c>
      <c r="G12" s="2">
        <v>380</v>
      </c>
      <c r="Y12" s="20">
        <v>1246.4100000000001</v>
      </c>
      <c r="Z12" s="8">
        <v>261.75</v>
      </c>
      <c r="AA12" s="29">
        <v>6597.41</v>
      </c>
      <c r="AC12" s="2">
        <v>0</v>
      </c>
      <c r="AD12" s="2" t="s">
        <v>53</v>
      </c>
      <c r="AE12" s="29">
        <v>6597.41</v>
      </c>
      <c r="AF12" s="2">
        <v>53111</v>
      </c>
      <c r="AG12" s="2">
        <v>0</v>
      </c>
      <c r="AH12" s="2" t="s">
        <v>54</v>
      </c>
      <c r="AI12" s="2" t="s">
        <v>55</v>
      </c>
      <c r="AJ12" s="2" t="s">
        <v>90</v>
      </c>
      <c r="AM12" s="2">
        <v>1</v>
      </c>
      <c r="AS12" s="4">
        <f>Table1[[#This Row],[Total fara TVA]]+Table1[[#This Row],[Total TVA]]</f>
        <v>1508.16</v>
      </c>
      <c r="AT12" s="20">
        <v>1246.4100000000001</v>
      </c>
      <c r="AU12" s="8">
        <v>261.75</v>
      </c>
      <c r="AV12" s="10">
        <f>Table1[[#This Row],[Total fara TVA]]+Table1[[#This Row],[Total TVA]]</f>
        <v>1508.16</v>
      </c>
      <c r="AW12" s="2" t="s">
        <v>57</v>
      </c>
      <c r="AX12" s="2">
        <v>21</v>
      </c>
      <c r="AY12" s="2">
        <v>310344</v>
      </c>
    </row>
    <row r="13" spans="1:53" ht="16.5" x14ac:dyDescent="0.3">
      <c r="A13" s="2" t="s">
        <v>58</v>
      </c>
      <c r="B13" s="3">
        <v>1512</v>
      </c>
      <c r="C13" s="2">
        <v>1</v>
      </c>
      <c r="E13" s="18" t="s">
        <v>70</v>
      </c>
      <c r="F13" s="18" t="s">
        <v>70</v>
      </c>
      <c r="G13" s="2">
        <v>380</v>
      </c>
      <c r="Y13" s="20">
        <v>1869.68</v>
      </c>
      <c r="Z13" s="8">
        <v>392.63</v>
      </c>
      <c r="AA13" s="29">
        <v>7247.99</v>
      </c>
      <c r="AC13" s="2">
        <v>0</v>
      </c>
      <c r="AD13" s="2" t="s">
        <v>53</v>
      </c>
      <c r="AE13" s="29">
        <v>7247.99</v>
      </c>
      <c r="AF13" s="2">
        <v>53111</v>
      </c>
      <c r="AG13" s="2">
        <v>0</v>
      </c>
      <c r="AH13" s="2" t="s">
        <v>54</v>
      </c>
      <c r="AI13" s="2" t="s">
        <v>55</v>
      </c>
      <c r="AJ13" s="2" t="s">
        <v>90</v>
      </c>
      <c r="AM13" s="2">
        <v>1</v>
      </c>
      <c r="AS13" s="4">
        <f>Table1[[#This Row],[Total fara TVA]]+Table1[[#This Row],[Total TVA]]</f>
        <v>2262.31</v>
      </c>
      <c r="AT13" s="20">
        <v>1869.68</v>
      </c>
      <c r="AU13" s="8">
        <v>392.63</v>
      </c>
      <c r="AV13" s="10">
        <f>Table1[[#This Row],[Total fara TVA]]+Table1[[#This Row],[Total TVA]]</f>
        <v>2262.31</v>
      </c>
      <c r="AW13" s="2" t="s">
        <v>57</v>
      </c>
      <c r="AX13" s="2">
        <v>21</v>
      </c>
      <c r="AY13" s="2">
        <v>310344</v>
      </c>
    </row>
    <row r="14" spans="1:53" ht="16.5" x14ac:dyDescent="0.3">
      <c r="A14" s="2" t="s">
        <v>58</v>
      </c>
      <c r="B14" s="3">
        <v>1513</v>
      </c>
      <c r="C14" s="2">
        <v>1</v>
      </c>
      <c r="E14" s="18" t="s">
        <v>71</v>
      </c>
      <c r="F14" s="18" t="s">
        <v>71</v>
      </c>
      <c r="G14" s="2">
        <v>380</v>
      </c>
      <c r="Y14" s="20">
        <v>1232.8900000000001</v>
      </c>
      <c r="Z14" s="8">
        <v>258.91000000000003</v>
      </c>
      <c r="AA14" s="29">
        <v>6586.74</v>
      </c>
      <c r="AC14" s="2">
        <v>0</v>
      </c>
      <c r="AD14" s="2" t="s">
        <v>53</v>
      </c>
      <c r="AE14" s="29">
        <v>6586.74</v>
      </c>
      <c r="AF14" s="2">
        <v>53111</v>
      </c>
      <c r="AG14" s="2">
        <v>0</v>
      </c>
      <c r="AH14" s="2" t="s">
        <v>54</v>
      </c>
      <c r="AI14" s="2" t="s">
        <v>55</v>
      </c>
      <c r="AJ14" s="2" t="s">
        <v>90</v>
      </c>
      <c r="AM14" s="2">
        <v>1</v>
      </c>
      <c r="AS14" s="4">
        <f>Table1[[#This Row],[Total fara TVA]]+Table1[[#This Row],[Total TVA]]</f>
        <v>1491.8000000000002</v>
      </c>
      <c r="AT14" s="20">
        <v>1232.8900000000001</v>
      </c>
      <c r="AU14" s="8">
        <v>258.91000000000003</v>
      </c>
      <c r="AV14" s="10">
        <f>Table1[[#This Row],[Total fara TVA]]+Table1[[#This Row],[Total TVA]]</f>
        <v>1491.8000000000002</v>
      </c>
      <c r="AW14" s="2" t="s">
        <v>57</v>
      </c>
      <c r="AX14" s="2">
        <v>21</v>
      </c>
      <c r="AY14" s="2">
        <v>310344</v>
      </c>
    </row>
    <row r="15" spans="1:53" ht="16.5" x14ac:dyDescent="0.3">
      <c r="A15" s="2" t="s">
        <v>58</v>
      </c>
      <c r="B15" s="3">
        <v>1514</v>
      </c>
      <c r="C15" s="2">
        <v>1</v>
      </c>
      <c r="E15" s="18" t="s">
        <v>72</v>
      </c>
      <c r="F15" s="18" t="s">
        <v>72</v>
      </c>
      <c r="G15" s="2">
        <v>380</v>
      </c>
      <c r="Y15" s="21">
        <v>1768.5</v>
      </c>
      <c r="Z15" s="8">
        <v>371.38</v>
      </c>
      <c r="AA15" s="29">
        <v>7534.41</v>
      </c>
      <c r="AC15" s="2">
        <v>0</v>
      </c>
      <c r="AD15" s="2" t="s">
        <v>53</v>
      </c>
      <c r="AE15" s="29">
        <v>7534.41</v>
      </c>
      <c r="AF15" s="2">
        <v>53111</v>
      </c>
      <c r="AG15" s="2">
        <v>0</v>
      </c>
      <c r="AH15" s="2" t="s">
        <v>54</v>
      </c>
      <c r="AI15" s="2" t="s">
        <v>55</v>
      </c>
      <c r="AJ15" s="2" t="s">
        <v>90</v>
      </c>
      <c r="AM15" s="2">
        <v>1</v>
      </c>
      <c r="AS15" s="4">
        <f>Table1[[#This Row],[Total fara TVA]]+Table1[[#This Row],[Total TVA]]</f>
        <v>2139.88</v>
      </c>
      <c r="AT15" s="21">
        <v>1768.5</v>
      </c>
      <c r="AU15" s="8">
        <v>371.38</v>
      </c>
      <c r="AV15" s="10">
        <f>Table1[[#This Row],[Total fara TVA]]+Table1[[#This Row],[Total TVA]]</f>
        <v>2139.88</v>
      </c>
      <c r="AW15" s="2" t="s">
        <v>57</v>
      </c>
      <c r="AX15" s="2">
        <v>21</v>
      </c>
      <c r="AY15" s="2">
        <v>310344</v>
      </c>
    </row>
    <row r="16" spans="1:53" ht="16.5" x14ac:dyDescent="0.3">
      <c r="A16" s="2" t="s">
        <v>58</v>
      </c>
      <c r="B16" s="3">
        <v>1515</v>
      </c>
      <c r="C16" s="2">
        <v>1</v>
      </c>
      <c r="E16" s="18" t="s">
        <v>73</v>
      </c>
      <c r="F16" s="18" t="s">
        <v>73</v>
      </c>
      <c r="G16" s="2">
        <v>380</v>
      </c>
      <c r="Y16" s="21">
        <v>2128.6</v>
      </c>
      <c r="Z16" s="27">
        <v>447</v>
      </c>
      <c r="AA16" s="29">
        <v>7071.11</v>
      </c>
      <c r="AC16" s="2">
        <v>0</v>
      </c>
      <c r="AD16" s="2" t="s">
        <v>53</v>
      </c>
      <c r="AE16" s="29">
        <v>7071.11</v>
      </c>
      <c r="AF16" s="2">
        <v>53111</v>
      </c>
      <c r="AG16" s="2">
        <v>0</v>
      </c>
      <c r="AH16" s="2" t="s">
        <v>54</v>
      </c>
      <c r="AI16" s="2" t="s">
        <v>55</v>
      </c>
      <c r="AJ16" s="2" t="s">
        <v>90</v>
      </c>
      <c r="AM16" s="2">
        <v>1</v>
      </c>
      <c r="AS16" s="4">
        <f>Table1[[#This Row],[Total fara TVA]]+Table1[[#This Row],[Total TVA]]</f>
        <v>2575.6</v>
      </c>
      <c r="AT16" s="21">
        <v>2128.6</v>
      </c>
      <c r="AU16" s="27">
        <v>447</v>
      </c>
      <c r="AV16" s="10">
        <f>Table1[[#This Row],[Total fara TVA]]+Table1[[#This Row],[Total TVA]]</f>
        <v>2575.6</v>
      </c>
      <c r="AW16" s="2" t="s">
        <v>57</v>
      </c>
      <c r="AX16" s="2">
        <v>21</v>
      </c>
      <c r="AY16" s="2">
        <v>310344</v>
      </c>
    </row>
    <row r="17" spans="1:51" ht="16.5" x14ac:dyDescent="0.3">
      <c r="A17" s="2" t="s">
        <v>58</v>
      </c>
      <c r="B17" s="3">
        <v>1516</v>
      </c>
      <c r="C17" s="2">
        <v>1</v>
      </c>
      <c r="E17" s="18" t="s">
        <v>74</v>
      </c>
      <c r="F17" s="18" t="s">
        <v>74</v>
      </c>
      <c r="G17" s="2">
        <v>380</v>
      </c>
      <c r="Y17" s="20">
        <v>1673.28</v>
      </c>
      <c r="Z17" s="8">
        <v>351.39</v>
      </c>
      <c r="AA17" s="29">
        <v>6478.06</v>
      </c>
      <c r="AC17" s="2">
        <v>0</v>
      </c>
      <c r="AD17" s="2" t="s">
        <v>53</v>
      </c>
      <c r="AE17" s="29">
        <v>6478.06</v>
      </c>
      <c r="AF17" s="2">
        <v>53111</v>
      </c>
      <c r="AG17" s="2">
        <v>0</v>
      </c>
      <c r="AH17" s="2" t="s">
        <v>54</v>
      </c>
      <c r="AI17" s="2" t="s">
        <v>55</v>
      </c>
      <c r="AJ17" s="2" t="s">
        <v>90</v>
      </c>
      <c r="AM17" s="2">
        <v>1</v>
      </c>
      <c r="AS17" s="4">
        <f>Table1[[#This Row],[Total fara TVA]]+Table1[[#This Row],[Total TVA]]</f>
        <v>2024.67</v>
      </c>
      <c r="AT17" s="20">
        <v>1673.28</v>
      </c>
      <c r="AU17" s="8">
        <v>351.39</v>
      </c>
      <c r="AV17" s="10">
        <f>Table1[[#This Row],[Total fara TVA]]+Table1[[#This Row],[Total TVA]]</f>
        <v>2024.67</v>
      </c>
      <c r="AW17" s="2" t="s">
        <v>57</v>
      </c>
      <c r="AX17" s="2">
        <v>21</v>
      </c>
      <c r="AY17" s="2">
        <v>310344</v>
      </c>
    </row>
    <row r="18" spans="1:51" ht="16.5" x14ac:dyDescent="0.3">
      <c r="A18" s="2" t="s">
        <v>58</v>
      </c>
      <c r="B18" s="3">
        <v>1517</v>
      </c>
      <c r="C18" s="2">
        <v>1</v>
      </c>
      <c r="E18" s="18" t="s">
        <v>75</v>
      </c>
      <c r="F18" s="18" t="s">
        <v>75</v>
      </c>
      <c r="G18" s="2">
        <v>380</v>
      </c>
      <c r="Y18" s="20">
        <v>1376.88</v>
      </c>
      <c r="Z18" s="8">
        <v>289.14999999999998</v>
      </c>
      <c r="AA18" s="29">
        <v>5500.51</v>
      </c>
      <c r="AC18" s="2">
        <v>0</v>
      </c>
      <c r="AD18" s="2" t="s">
        <v>53</v>
      </c>
      <c r="AE18" s="29">
        <v>5500.51</v>
      </c>
      <c r="AF18" s="2">
        <v>53111</v>
      </c>
      <c r="AG18" s="2">
        <v>0</v>
      </c>
      <c r="AH18" s="2" t="s">
        <v>54</v>
      </c>
      <c r="AI18" s="2" t="s">
        <v>55</v>
      </c>
      <c r="AJ18" s="2" t="s">
        <v>90</v>
      </c>
      <c r="AM18" s="2">
        <v>1</v>
      </c>
      <c r="AS18" s="4">
        <f>Table1[[#This Row],[Total fara TVA]]+Table1[[#This Row],[Total TVA]]</f>
        <v>1666.0300000000002</v>
      </c>
      <c r="AT18" s="20">
        <v>1376.88</v>
      </c>
      <c r="AU18" s="8">
        <v>289.14999999999998</v>
      </c>
      <c r="AV18" s="10">
        <f>Table1[[#This Row],[Total fara TVA]]+Table1[[#This Row],[Total TVA]]</f>
        <v>1666.0300000000002</v>
      </c>
      <c r="AW18" s="2" t="s">
        <v>57</v>
      </c>
      <c r="AX18" s="2">
        <v>21</v>
      </c>
      <c r="AY18" s="2">
        <v>310344</v>
      </c>
    </row>
    <row r="19" spans="1:51" ht="16.5" x14ac:dyDescent="0.3">
      <c r="A19" s="2" t="s">
        <v>58</v>
      </c>
      <c r="B19" s="3">
        <v>1518</v>
      </c>
      <c r="C19" s="2">
        <v>1</v>
      </c>
      <c r="E19" s="18" t="s">
        <v>76</v>
      </c>
      <c r="F19" s="18" t="s">
        <v>76</v>
      </c>
      <c r="G19" s="2">
        <v>380</v>
      </c>
      <c r="Y19" s="4">
        <v>598.27</v>
      </c>
      <c r="Z19" s="8">
        <v>125.64</v>
      </c>
      <c r="AA19" s="29">
        <v>5823.19</v>
      </c>
      <c r="AC19" s="2">
        <v>0</v>
      </c>
      <c r="AD19" s="2" t="s">
        <v>53</v>
      </c>
      <c r="AE19" s="29">
        <v>5823.19</v>
      </c>
      <c r="AF19" s="2">
        <v>53111</v>
      </c>
      <c r="AG19" s="2">
        <v>0</v>
      </c>
      <c r="AH19" s="2" t="s">
        <v>54</v>
      </c>
      <c r="AI19" s="2" t="s">
        <v>55</v>
      </c>
      <c r="AJ19" s="2" t="s">
        <v>90</v>
      </c>
      <c r="AM19" s="2">
        <v>1</v>
      </c>
      <c r="AS19" s="4">
        <f>Table1[[#This Row],[Total fara TVA]]+Table1[[#This Row],[Total TVA]]</f>
        <v>723.91</v>
      </c>
      <c r="AT19" s="4">
        <v>598.27</v>
      </c>
      <c r="AU19" s="8">
        <v>125.64</v>
      </c>
      <c r="AV19" s="10">
        <f>Table1[[#This Row],[Total fara TVA]]+Table1[[#This Row],[Total TVA]]</f>
        <v>723.91</v>
      </c>
      <c r="AW19" s="2" t="s">
        <v>57</v>
      </c>
      <c r="AX19" s="2">
        <v>21</v>
      </c>
      <c r="AY19" s="2">
        <v>310344</v>
      </c>
    </row>
    <row r="20" spans="1:51" ht="16.5" x14ac:dyDescent="0.3">
      <c r="A20" s="2" t="s">
        <v>58</v>
      </c>
      <c r="B20" s="3">
        <v>1519</v>
      </c>
      <c r="C20" s="2">
        <v>1</v>
      </c>
      <c r="E20" s="18" t="s">
        <v>77</v>
      </c>
      <c r="F20" s="18" t="s">
        <v>77</v>
      </c>
      <c r="G20" s="2">
        <v>380</v>
      </c>
      <c r="Y20" s="20">
        <v>2001.14</v>
      </c>
      <c r="Z20" s="8">
        <v>420.24</v>
      </c>
      <c r="AA20" s="29">
        <v>8390</v>
      </c>
      <c r="AC20" s="2">
        <v>0</v>
      </c>
      <c r="AD20" s="2" t="s">
        <v>53</v>
      </c>
      <c r="AE20" s="29">
        <v>8390</v>
      </c>
      <c r="AF20" s="2">
        <v>53111</v>
      </c>
      <c r="AG20" s="2">
        <v>0</v>
      </c>
      <c r="AH20" s="2" t="s">
        <v>54</v>
      </c>
      <c r="AI20" s="2" t="s">
        <v>55</v>
      </c>
      <c r="AJ20" s="2" t="s">
        <v>90</v>
      </c>
      <c r="AM20" s="2">
        <v>1</v>
      </c>
      <c r="AS20" s="4">
        <f>Table1[[#This Row],[Total fara TVA]]+Table1[[#This Row],[Total TVA]]</f>
        <v>2421.38</v>
      </c>
      <c r="AT20" s="20">
        <v>2001.14</v>
      </c>
      <c r="AU20" s="8">
        <v>420.24</v>
      </c>
      <c r="AV20" s="10">
        <f>Table1[[#This Row],[Total fara TVA]]+Table1[[#This Row],[Total TVA]]</f>
        <v>2421.38</v>
      </c>
      <c r="AW20" s="2" t="s">
        <v>57</v>
      </c>
      <c r="AX20" s="2">
        <v>21</v>
      </c>
      <c r="AY20" s="2">
        <v>310344</v>
      </c>
    </row>
    <row r="21" spans="1:51" ht="16.5" x14ac:dyDescent="0.3">
      <c r="A21" s="2" t="s">
        <v>58</v>
      </c>
      <c r="B21" s="3">
        <v>1520</v>
      </c>
      <c r="C21" s="2">
        <v>1</v>
      </c>
      <c r="E21" s="18" t="s">
        <v>78</v>
      </c>
      <c r="F21" s="18" t="s">
        <v>78</v>
      </c>
      <c r="G21" s="2">
        <v>380</v>
      </c>
      <c r="Y21" s="20">
        <v>1323.59</v>
      </c>
      <c r="Z21" s="8">
        <v>277.95</v>
      </c>
      <c r="AA21" s="29">
        <v>7198.85</v>
      </c>
      <c r="AC21" s="2">
        <v>0</v>
      </c>
      <c r="AD21" s="2" t="s">
        <v>53</v>
      </c>
      <c r="AE21" s="29">
        <v>7198.85</v>
      </c>
      <c r="AF21" s="2">
        <v>53111</v>
      </c>
      <c r="AG21" s="2">
        <v>0</v>
      </c>
      <c r="AH21" s="2" t="s">
        <v>54</v>
      </c>
      <c r="AI21" s="2" t="s">
        <v>55</v>
      </c>
      <c r="AJ21" s="2" t="s">
        <v>90</v>
      </c>
      <c r="AM21" s="2">
        <v>1</v>
      </c>
      <c r="AS21" s="4">
        <f>Table1[[#This Row],[Total fara TVA]]+Table1[[#This Row],[Total TVA]]</f>
        <v>1601.54</v>
      </c>
      <c r="AT21" s="20">
        <v>1323.59</v>
      </c>
      <c r="AU21" s="8">
        <v>277.95</v>
      </c>
      <c r="AV21" s="10">
        <f>Table1[[#This Row],[Total fara TVA]]+Table1[[#This Row],[Total TVA]]</f>
        <v>1601.54</v>
      </c>
      <c r="AW21" s="2" t="s">
        <v>57</v>
      </c>
      <c r="AX21" s="2">
        <v>21</v>
      </c>
      <c r="AY21" s="2">
        <v>310344</v>
      </c>
    </row>
    <row r="22" spans="1:51" ht="16.5" x14ac:dyDescent="0.3">
      <c r="A22" s="2" t="s">
        <v>58</v>
      </c>
      <c r="B22" s="3">
        <v>1521</v>
      </c>
      <c r="C22" s="2">
        <v>1</v>
      </c>
      <c r="E22" s="18" t="s">
        <v>79</v>
      </c>
      <c r="F22" s="18" t="s">
        <v>79</v>
      </c>
      <c r="G22" s="2">
        <v>380</v>
      </c>
      <c r="Y22" s="20">
        <v>1262.74</v>
      </c>
      <c r="Z22" s="8">
        <v>265.17</v>
      </c>
      <c r="AA22" s="29">
        <v>6981.27</v>
      </c>
      <c r="AC22" s="2">
        <v>0</v>
      </c>
      <c r="AD22" s="2" t="s">
        <v>53</v>
      </c>
      <c r="AE22" s="29">
        <v>6981.27</v>
      </c>
      <c r="AF22" s="2">
        <v>53111</v>
      </c>
      <c r="AG22" s="2">
        <v>0</v>
      </c>
      <c r="AH22" s="2" t="s">
        <v>54</v>
      </c>
      <c r="AI22" s="2" t="s">
        <v>55</v>
      </c>
      <c r="AJ22" s="2" t="s">
        <v>90</v>
      </c>
      <c r="AM22" s="2">
        <v>1</v>
      </c>
      <c r="AS22" s="4">
        <f>Table1[[#This Row],[Total fara TVA]]+Table1[[#This Row],[Total TVA]]</f>
        <v>1527.91</v>
      </c>
      <c r="AT22" s="20">
        <v>1262.74</v>
      </c>
      <c r="AU22" s="8">
        <v>265.17</v>
      </c>
      <c r="AV22" s="10">
        <f>Table1[[#This Row],[Total fara TVA]]+Table1[[#This Row],[Total TVA]]</f>
        <v>1527.91</v>
      </c>
      <c r="AW22" s="2" t="s">
        <v>57</v>
      </c>
      <c r="AX22" s="2">
        <v>21</v>
      </c>
      <c r="AY22" s="2">
        <v>310344</v>
      </c>
    </row>
    <row r="23" spans="1:51" ht="16.5" x14ac:dyDescent="0.3">
      <c r="A23" s="2" t="s">
        <v>58</v>
      </c>
      <c r="B23" s="3">
        <v>1522</v>
      </c>
      <c r="C23" s="2">
        <v>1</v>
      </c>
      <c r="E23" s="18" t="s">
        <v>80</v>
      </c>
      <c r="F23" s="18" t="s">
        <v>80</v>
      </c>
      <c r="G23" s="2">
        <v>380</v>
      </c>
      <c r="Y23" s="4">
        <v>956.52</v>
      </c>
      <c r="Z23" s="8">
        <v>200.87</v>
      </c>
      <c r="AA23" s="29">
        <v>5784.1</v>
      </c>
      <c r="AC23" s="2">
        <v>0</v>
      </c>
      <c r="AD23" s="2" t="s">
        <v>53</v>
      </c>
      <c r="AE23" s="29">
        <v>5784.1</v>
      </c>
      <c r="AF23" s="2">
        <v>53111</v>
      </c>
      <c r="AG23" s="2">
        <v>0</v>
      </c>
      <c r="AH23" s="2" t="s">
        <v>54</v>
      </c>
      <c r="AI23" s="2" t="s">
        <v>55</v>
      </c>
      <c r="AJ23" s="2" t="s">
        <v>90</v>
      </c>
      <c r="AM23" s="2">
        <v>1</v>
      </c>
      <c r="AS23" s="4">
        <f>Table1[[#This Row],[Total fara TVA]]+Table1[[#This Row],[Total TVA]]</f>
        <v>1157.3899999999999</v>
      </c>
      <c r="AT23" s="4">
        <v>956.52</v>
      </c>
      <c r="AU23" s="8">
        <v>200.87</v>
      </c>
      <c r="AV23" s="10">
        <f>Table1[[#This Row],[Total fara TVA]]+Table1[[#This Row],[Total TVA]]</f>
        <v>1157.3899999999999</v>
      </c>
      <c r="AW23" s="2" t="s">
        <v>57</v>
      </c>
      <c r="AX23" s="2">
        <v>21</v>
      </c>
      <c r="AY23" s="2">
        <v>310344</v>
      </c>
    </row>
    <row r="24" spans="1:51" ht="16.5" x14ac:dyDescent="0.3">
      <c r="A24" s="2" t="s">
        <v>58</v>
      </c>
      <c r="B24" s="3">
        <v>1523</v>
      </c>
      <c r="C24" s="2">
        <v>1</v>
      </c>
      <c r="E24" s="18" t="s">
        <v>81</v>
      </c>
      <c r="F24" s="18" t="s">
        <v>81</v>
      </c>
      <c r="G24" s="2">
        <v>380</v>
      </c>
      <c r="Y24" s="21">
        <v>1326.5</v>
      </c>
      <c r="Z24" s="8">
        <v>278.57</v>
      </c>
      <c r="AA24" s="29">
        <v>6466.29</v>
      </c>
      <c r="AC24" s="2">
        <v>0</v>
      </c>
      <c r="AD24" s="2" t="s">
        <v>53</v>
      </c>
      <c r="AE24" s="29">
        <v>6466.29</v>
      </c>
      <c r="AF24" s="2">
        <v>53111</v>
      </c>
      <c r="AG24" s="2">
        <v>0</v>
      </c>
      <c r="AH24" s="2" t="s">
        <v>54</v>
      </c>
      <c r="AI24" s="2" t="s">
        <v>55</v>
      </c>
      <c r="AJ24" s="2" t="s">
        <v>90</v>
      </c>
      <c r="AM24" s="2">
        <v>1</v>
      </c>
      <c r="AS24" s="4">
        <f>Table1[[#This Row],[Total fara TVA]]+Table1[[#This Row],[Total TVA]]</f>
        <v>1605.07</v>
      </c>
      <c r="AT24" s="21">
        <v>1326.5</v>
      </c>
      <c r="AU24" s="8">
        <v>278.57</v>
      </c>
      <c r="AV24" s="10">
        <f>Table1[[#This Row],[Total fara TVA]]+Table1[[#This Row],[Total TVA]]</f>
        <v>1605.07</v>
      </c>
      <c r="AW24" s="2" t="s">
        <v>57</v>
      </c>
      <c r="AX24" s="2">
        <v>21</v>
      </c>
      <c r="AY24" s="2">
        <v>310344</v>
      </c>
    </row>
    <row r="25" spans="1:51" ht="16.5" x14ac:dyDescent="0.3">
      <c r="A25" s="2" t="s">
        <v>58</v>
      </c>
      <c r="B25" s="3">
        <v>1524</v>
      </c>
      <c r="C25" s="2">
        <v>1</v>
      </c>
      <c r="E25" s="18" t="s">
        <v>82</v>
      </c>
      <c r="F25" s="18" t="s">
        <v>82</v>
      </c>
      <c r="G25" s="2">
        <v>380</v>
      </c>
      <c r="Y25" s="20">
        <v>1390.08</v>
      </c>
      <c r="Z25" s="8">
        <v>291.92</v>
      </c>
      <c r="AA25" s="29">
        <v>4785.59</v>
      </c>
      <c r="AC25" s="2">
        <v>0</v>
      </c>
      <c r="AD25" s="2" t="s">
        <v>53</v>
      </c>
      <c r="AE25" s="29">
        <v>4785.59</v>
      </c>
      <c r="AF25" s="2">
        <v>53111</v>
      </c>
      <c r="AG25" s="2">
        <v>0</v>
      </c>
      <c r="AH25" s="2" t="s">
        <v>54</v>
      </c>
      <c r="AI25" s="2" t="s">
        <v>55</v>
      </c>
      <c r="AJ25" s="2" t="s">
        <v>90</v>
      </c>
      <c r="AM25" s="2">
        <v>1</v>
      </c>
      <c r="AS25" s="4">
        <f>Table1[[#This Row],[Total fara TVA]]+Table1[[#This Row],[Total TVA]]</f>
        <v>1682</v>
      </c>
      <c r="AT25" s="20">
        <v>1390.08</v>
      </c>
      <c r="AU25" s="8">
        <v>291.92</v>
      </c>
      <c r="AV25" s="10">
        <f>Table1[[#This Row],[Total fara TVA]]+Table1[[#This Row],[Total TVA]]</f>
        <v>1682</v>
      </c>
      <c r="AW25" s="2" t="s">
        <v>57</v>
      </c>
      <c r="AX25" s="2">
        <v>21</v>
      </c>
      <c r="AY25" s="2">
        <v>310344</v>
      </c>
    </row>
    <row r="26" spans="1:51" ht="16.5" x14ac:dyDescent="0.3">
      <c r="A26" s="2" t="s">
        <v>58</v>
      </c>
      <c r="B26" s="3">
        <v>1525</v>
      </c>
      <c r="C26" s="2">
        <v>1</v>
      </c>
      <c r="E26" s="18" t="s">
        <v>83</v>
      </c>
      <c r="F26" s="18" t="s">
        <v>83</v>
      </c>
      <c r="G26" s="2">
        <v>380</v>
      </c>
      <c r="Y26" s="19">
        <v>908.6</v>
      </c>
      <c r="Z26" s="9">
        <v>190.8</v>
      </c>
      <c r="AA26" s="29">
        <v>5409.09</v>
      </c>
      <c r="AC26" s="2">
        <v>0</v>
      </c>
      <c r="AD26" s="2" t="s">
        <v>53</v>
      </c>
      <c r="AE26" s="29">
        <v>5409.09</v>
      </c>
      <c r="AF26" s="2">
        <v>53111</v>
      </c>
      <c r="AG26" s="2">
        <v>0</v>
      </c>
      <c r="AH26" s="2" t="s">
        <v>54</v>
      </c>
      <c r="AI26" s="2" t="s">
        <v>55</v>
      </c>
      <c r="AJ26" s="2" t="s">
        <v>90</v>
      </c>
      <c r="AM26" s="2">
        <v>1</v>
      </c>
      <c r="AS26" s="4">
        <f>Table1[[#This Row],[Total fara TVA]]+Table1[[#This Row],[Total TVA]]</f>
        <v>1099.4000000000001</v>
      </c>
      <c r="AT26" s="19">
        <v>908.6</v>
      </c>
      <c r="AU26" s="9">
        <v>190.8</v>
      </c>
      <c r="AV26" s="10">
        <f>Table1[[#This Row],[Total fara TVA]]+Table1[[#This Row],[Total TVA]]</f>
        <v>1099.4000000000001</v>
      </c>
      <c r="AW26" s="2" t="s">
        <v>57</v>
      </c>
      <c r="AX26" s="2">
        <v>21</v>
      </c>
      <c r="AY26" s="2">
        <v>310344</v>
      </c>
    </row>
    <row r="27" spans="1:51" ht="16.5" x14ac:dyDescent="0.3">
      <c r="A27" s="2" t="s">
        <v>58</v>
      </c>
      <c r="B27" s="3">
        <v>1526</v>
      </c>
      <c r="C27" s="2">
        <v>1</v>
      </c>
      <c r="E27" s="18" t="s">
        <v>84</v>
      </c>
      <c r="F27" s="18" t="s">
        <v>84</v>
      </c>
      <c r="G27" s="2">
        <v>380</v>
      </c>
      <c r="Y27" s="20">
        <v>1260.05</v>
      </c>
      <c r="Z27" s="8">
        <v>264.61</v>
      </c>
      <c r="AA27" s="29">
        <v>5782.03</v>
      </c>
      <c r="AC27" s="2">
        <v>0</v>
      </c>
      <c r="AD27" s="2" t="s">
        <v>53</v>
      </c>
      <c r="AE27" s="29">
        <v>5782.03</v>
      </c>
      <c r="AF27" s="2">
        <v>53111</v>
      </c>
      <c r="AG27" s="2">
        <v>0</v>
      </c>
      <c r="AH27" s="2" t="s">
        <v>54</v>
      </c>
      <c r="AI27" s="2" t="s">
        <v>55</v>
      </c>
      <c r="AJ27" s="2" t="s">
        <v>90</v>
      </c>
      <c r="AM27" s="2">
        <v>1</v>
      </c>
      <c r="AS27" s="4">
        <f>Table1[[#This Row],[Total fara TVA]]+Table1[[#This Row],[Total TVA]]</f>
        <v>1524.6599999999999</v>
      </c>
      <c r="AT27" s="20">
        <v>1260.05</v>
      </c>
      <c r="AU27" s="8">
        <v>264.61</v>
      </c>
      <c r="AV27" s="10">
        <f>Table1[[#This Row],[Total fara TVA]]+Table1[[#This Row],[Total TVA]]</f>
        <v>1524.6599999999999</v>
      </c>
      <c r="AW27" s="2" t="s">
        <v>57</v>
      </c>
      <c r="AX27" s="2">
        <v>21</v>
      </c>
      <c r="AY27" s="2">
        <v>310344</v>
      </c>
    </row>
    <row r="28" spans="1:51" ht="16.5" x14ac:dyDescent="0.3">
      <c r="A28" s="2" t="s">
        <v>58</v>
      </c>
      <c r="B28" s="3">
        <v>1527</v>
      </c>
      <c r="C28" s="2">
        <v>1</v>
      </c>
      <c r="E28" s="18" t="s">
        <v>85</v>
      </c>
      <c r="F28" s="18" t="s">
        <v>85</v>
      </c>
      <c r="G28" s="2">
        <v>380</v>
      </c>
      <c r="Y28" s="20">
        <v>1184.8399999999999</v>
      </c>
      <c r="Z28" s="8">
        <v>248.82</v>
      </c>
      <c r="AA28" s="29">
        <v>5615.62</v>
      </c>
      <c r="AC28" s="2">
        <v>0</v>
      </c>
      <c r="AD28" s="2" t="s">
        <v>53</v>
      </c>
      <c r="AE28" s="29">
        <v>5615.62</v>
      </c>
      <c r="AF28" s="2">
        <v>53111</v>
      </c>
      <c r="AG28" s="2">
        <v>0</v>
      </c>
      <c r="AH28" s="2" t="s">
        <v>54</v>
      </c>
      <c r="AI28" s="2" t="s">
        <v>55</v>
      </c>
      <c r="AJ28" s="2" t="s">
        <v>90</v>
      </c>
      <c r="AM28" s="2">
        <v>1</v>
      </c>
      <c r="AS28" s="4">
        <f>Table1[[#This Row],[Total fara TVA]]+Table1[[#This Row],[Total TVA]]</f>
        <v>1433.6599999999999</v>
      </c>
      <c r="AT28" s="20">
        <v>1184.8399999999999</v>
      </c>
      <c r="AU28" s="8">
        <v>248.82</v>
      </c>
      <c r="AV28" s="10">
        <f>Table1[[#This Row],[Total fara TVA]]+Table1[[#This Row],[Total TVA]]</f>
        <v>1433.6599999999999</v>
      </c>
      <c r="AW28" s="2" t="s">
        <v>57</v>
      </c>
      <c r="AX28" s="2">
        <v>21</v>
      </c>
      <c r="AY28" s="2">
        <v>310344</v>
      </c>
    </row>
    <row r="29" spans="1:51" s="6" customFormat="1" ht="16.5" x14ac:dyDescent="0.3">
      <c r="A29" s="5" t="s">
        <v>58</v>
      </c>
      <c r="B29" s="3">
        <v>1528</v>
      </c>
      <c r="C29" s="5">
        <v>1</v>
      </c>
      <c r="E29" s="18" t="s">
        <v>86</v>
      </c>
      <c r="F29" s="18" t="s">
        <v>86</v>
      </c>
      <c r="G29" s="5">
        <v>380</v>
      </c>
      <c r="Y29" s="4">
        <v>947.38</v>
      </c>
      <c r="Z29" s="8">
        <v>198.95</v>
      </c>
      <c r="AA29" s="29">
        <v>5980.29</v>
      </c>
      <c r="AC29" s="5">
        <v>0</v>
      </c>
      <c r="AD29" s="5" t="s">
        <v>53</v>
      </c>
      <c r="AE29" s="29">
        <v>5980.29</v>
      </c>
      <c r="AF29" s="5">
        <v>53111</v>
      </c>
      <c r="AG29" s="5">
        <v>0</v>
      </c>
      <c r="AH29" s="5" t="s">
        <v>54</v>
      </c>
      <c r="AI29" s="5" t="s">
        <v>55</v>
      </c>
      <c r="AJ29" s="2" t="s">
        <v>90</v>
      </c>
      <c r="AM29" s="5">
        <v>1</v>
      </c>
      <c r="AS29" s="4">
        <f>Table1[[#This Row],[Total fara TVA]]+Table1[[#This Row],[Total TVA]]</f>
        <v>1146.33</v>
      </c>
      <c r="AT29" s="4">
        <v>947.38</v>
      </c>
      <c r="AU29" s="8">
        <v>198.95</v>
      </c>
      <c r="AV29" s="10">
        <f>Table1[[#This Row],[Total fara TVA]]+Table1[[#This Row],[Total TVA]]</f>
        <v>1146.33</v>
      </c>
      <c r="AW29" s="5" t="s">
        <v>57</v>
      </c>
      <c r="AX29" s="2">
        <v>21</v>
      </c>
      <c r="AY29" s="2">
        <v>310344</v>
      </c>
    </row>
    <row r="30" spans="1:51" ht="16.5" x14ac:dyDescent="0.3">
      <c r="A30" s="2" t="s">
        <v>58</v>
      </c>
      <c r="B30" s="3">
        <v>1529</v>
      </c>
      <c r="C30" s="2">
        <v>1</v>
      </c>
      <c r="E30" s="18" t="s">
        <v>87</v>
      </c>
      <c r="F30" s="18" t="s">
        <v>87</v>
      </c>
      <c r="G30" s="2">
        <v>380</v>
      </c>
      <c r="Y30" s="4">
        <v>943.26</v>
      </c>
      <c r="Z30" s="8">
        <v>198.08</v>
      </c>
      <c r="AA30" s="29">
        <v>6552.82</v>
      </c>
      <c r="AC30" s="2">
        <v>0</v>
      </c>
      <c r="AD30" s="2" t="s">
        <v>53</v>
      </c>
      <c r="AE30" s="29">
        <v>6552.82</v>
      </c>
      <c r="AF30" s="2">
        <v>53111</v>
      </c>
      <c r="AG30" s="2">
        <v>0</v>
      </c>
      <c r="AH30" s="2" t="s">
        <v>54</v>
      </c>
      <c r="AI30" s="2" t="s">
        <v>55</v>
      </c>
      <c r="AJ30" s="2" t="s">
        <v>90</v>
      </c>
      <c r="AM30" s="2">
        <v>1</v>
      </c>
      <c r="AS30" s="4">
        <f>Table1[[#This Row],[Total fara TVA]]+Table1[[#This Row],[Total TVA]]</f>
        <v>1141.3399999999999</v>
      </c>
      <c r="AT30" s="4">
        <v>943.26</v>
      </c>
      <c r="AU30" s="8">
        <v>198.08</v>
      </c>
      <c r="AV30" s="10">
        <f>Table1[[#This Row],[Total fara TVA]]+Table1[[#This Row],[Total TVA]]</f>
        <v>1141.3399999999999</v>
      </c>
      <c r="AW30" s="2" t="s">
        <v>57</v>
      </c>
      <c r="AX30" s="2">
        <v>21</v>
      </c>
      <c r="AY30" s="2">
        <v>310344</v>
      </c>
    </row>
    <row r="31" spans="1:51" ht="16.5" x14ac:dyDescent="0.3">
      <c r="A31" s="2" t="s">
        <v>58</v>
      </c>
      <c r="B31" s="3">
        <v>1530</v>
      </c>
      <c r="C31" s="2">
        <v>1</v>
      </c>
      <c r="E31" s="18" t="s">
        <v>88</v>
      </c>
      <c r="F31" s="18" t="s">
        <v>88</v>
      </c>
      <c r="G31" s="2">
        <v>380</v>
      </c>
      <c r="Y31" s="20">
        <v>2289.21</v>
      </c>
      <c r="Z31" s="8">
        <v>480.74</v>
      </c>
      <c r="AA31" s="29">
        <v>6818.66</v>
      </c>
      <c r="AC31" s="2">
        <v>0</v>
      </c>
      <c r="AD31" s="2" t="s">
        <v>53</v>
      </c>
      <c r="AE31" s="29">
        <v>6818.66</v>
      </c>
      <c r="AF31" s="2">
        <v>53111</v>
      </c>
      <c r="AG31" s="2">
        <v>0</v>
      </c>
      <c r="AH31" s="2" t="s">
        <v>54</v>
      </c>
      <c r="AI31" s="5" t="s">
        <v>55</v>
      </c>
      <c r="AJ31" s="2" t="s">
        <v>90</v>
      </c>
      <c r="AM31" s="2">
        <v>1</v>
      </c>
      <c r="AS31" s="4">
        <f>Table1[[#This Row],[Total fara TVA]]+Table1[[#This Row],[Total TVA]]</f>
        <v>2769.95</v>
      </c>
      <c r="AT31" s="20">
        <v>2289.21</v>
      </c>
      <c r="AU31" s="8">
        <v>480.74</v>
      </c>
      <c r="AV31" s="10">
        <f>Table1[[#This Row],[Total fara TVA]]+Table1[[#This Row],[Total TVA]]</f>
        <v>2769.95</v>
      </c>
      <c r="AW31" s="2" t="s">
        <v>57</v>
      </c>
      <c r="AX31" s="2">
        <v>21</v>
      </c>
      <c r="AY31" s="2">
        <v>310344</v>
      </c>
    </row>
    <row r="32" spans="1:51" s="13" customFormat="1" ht="16.5" x14ac:dyDescent="0.3">
      <c r="A32" s="12" t="s">
        <v>58</v>
      </c>
      <c r="B32" s="3">
        <v>1531</v>
      </c>
      <c r="C32" s="12">
        <v>1</v>
      </c>
      <c r="D32" s="12"/>
      <c r="E32" s="18" t="s">
        <v>89</v>
      </c>
      <c r="F32" s="18" t="s">
        <v>89</v>
      </c>
      <c r="G32" s="12">
        <v>380</v>
      </c>
      <c r="Y32" s="4">
        <v>942.05</v>
      </c>
      <c r="Z32" s="8">
        <v>197.83</v>
      </c>
      <c r="AA32" s="29">
        <v>4322.8999999999996</v>
      </c>
      <c r="AC32" s="12">
        <v>0</v>
      </c>
      <c r="AD32" s="12" t="s">
        <v>53</v>
      </c>
      <c r="AE32" s="29">
        <v>4322.8999999999996</v>
      </c>
      <c r="AF32" s="12">
        <v>53111</v>
      </c>
      <c r="AG32" s="12">
        <v>0</v>
      </c>
      <c r="AH32" s="12" t="s">
        <v>54</v>
      </c>
      <c r="AI32" s="12" t="s">
        <v>55</v>
      </c>
      <c r="AJ32" s="2" t="s">
        <v>90</v>
      </c>
      <c r="AM32" s="12">
        <v>1</v>
      </c>
      <c r="AS32" s="14">
        <f>Table1[[#This Row],[Total fara TVA]]+Table1[[#This Row],[Total TVA]]</f>
        <v>1139.8799999999999</v>
      </c>
      <c r="AT32" s="4">
        <v>942.05</v>
      </c>
      <c r="AU32" s="8">
        <v>197.83</v>
      </c>
      <c r="AV32" s="15">
        <f>Table1[[#This Row],[Total fara TVA]]+Table1[[#This Row],[Total TVA]]</f>
        <v>1139.8799999999999</v>
      </c>
      <c r="AW32" s="12" t="s">
        <v>57</v>
      </c>
      <c r="AX32" s="2">
        <v>21</v>
      </c>
      <c r="AY32" s="2">
        <v>310344</v>
      </c>
    </row>
    <row r="33" spans="1:51" ht="16.5" x14ac:dyDescent="0.3">
      <c r="A33" s="2" t="s">
        <v>58</v>
      </c>
      <c r="B33" s="16">
        <v>1501</v>
      </c>
      <c r="C33" s="2">
        <v>1</v>
      </c>
      <c r="D33" s="2"/>
      <c r="E33" s="25" t="s">
        <v>59</v>
      </c>
      <c r="F33" s="25" t="s">
        <v>59</v>
      </c>
      <c r="G33" s="2">
        <v>380</v>
      </c>
      <c r="Y33" s="22">
        <v>3333.54</v>
      </c>
      <c r="Z33" s="17">
        <v>366.69</v>
      </c>
      <c r="AA33" s="28">
        <v>5612.3</v>
      </c>
      <c r="AC33" s="2">
        <v>0</v>
      </c>
      <c r="AD33" s="2" t="s">
        <v>53</v>
      </c>
      <c r="AE33" s="28">
        <v>5612.3</v>
      </c>
      <c r="AF33" s="2">
        <v>53111</v>
      </c>
      <c r="AG33" s="2">
        <v>0</v>
      </c>
      <c r="AH33" s="2" t="s">
        <v>54</v>
      </c>
      <c r="AI33" s="2" t="s">
        <v>55</v>
      </c>
      <c r="AJ33" s="2" t="s">
        <v>91</v>
      </c>
      <c r="AM33" s="2">
        <v>1</v>
      </c>
      <c r="AS33" s="4">
        <f>Table1[[#This Row],[Total fara TVA]]+Table1[[#This Row],[Total TVA]]</f>
        <v>3700.23</v>
      </c>
      <c r="AT33" s="22">
        <v>3333.54</v>
      </c>
      <c r="AU33" s="17">
        <v>366.69</v>
      </c>
      <c r="AV33" s="10">
        <f>Table1[[#This Row],[Total fara TVA]]+Table1[[#This Row],[Total TVA]]</f>
        <v>3700.23</v>
      </c>
      <c r="AW33" s="2" t="s">
        <v>57</v>
      </c>
      <c r="AX33">
        <v>11</v>
      </c>
      <c r="AY33">
        <v>310351</v>
      </c>
    </row>
    <row r="34" spans="1:51" ht="16.5" x14ac:dyDescent="0.3">
      <c r="A34" s="2" t="s">
        <v>58</v>
      </c>
      <c r="B34" s="3">
        <v>1502</v>
      </c>
      <c r="C34" s="2">
        <v>1</v>
      </c>
      <c r="E34" s="18" t="s">
        <v>60</v>
      </c>
      <c r="F34" s="18" t="s">
        <v>60</v>
      </c>
      <c r="G34" s="2">
        <v>380</v>
      </c>
      <c r="Y34" s="23">
        <v>3873.16</v>
      </c>
      <c r="Z34" s="8">
        <v>426.05</v>
      </c>
      <c r="AA34" s="29">
        <v>5709.63</v>
      </c>
      <c r="AC34" s="2">
        <v>0</v>
      </c>
      <c r="AD34" s="2" t="s">
        <v>53</v>
      </c>
      <c r="AE34" s="29">
        <v>5709.63</v>
      </c>
      <c r="AF34" s="2">
        <v>53111</v>
      </c>
      <c r="AG34" s="2">
        <v>0</v>
      </c>
      <c r="AH34" s="2" t="s">
        <v>54</v>
      </c>
      <c r="AI34" s="2" t="s">
        <v>55</v>
      </c>
      <c r="AJ34" s="2" t="s">
        <v>91</v>
      </c>
      <c r="AM34" s="2">
        <v>1</v>
      </c>
      <c r="AS34" s="4">
        <f>Table1[[#This Row],[Total fara TVA]]+Table1[[#This Row],[Total TVA]]</f>
        <v>4299.21</v>
      </c>
      <c r="AT34" s="23">
        <v>3873.16</v>
      </c>
      <c r="AU34" s="8">
        <v>426.05</v>
      </c>
      <c r="AV34" s="10">
        <f>Table1[[#This Row],[Total fara TVA]]+Table1[[#This Row],[Total TVA]]</f>
        <v>4299.21</v>
      </c>
      <c r="AW34" s="2" t="s">
        <v>57</v>
      </c>
      <c r="AX34" s="2">
        <v>11</v>
      </c>
      <c r="AY34">
        <v>310351</v>
      </c>
    </row>
    <row r="35" spans="1:51" ht="16.5" x14ac:dyDescent="0.3">
      <c r="A35" s="2" t="s">
        <v>58</v>
      </c>
      <c r="B35" s="3">
        <v>1503</v>
      </c>
      <c r="C35" s="2">
        <v>1</v>
      </c>
      <c r="E35" s="18" t="s">
        <v>61</v>
      </c>
      <c r="F35" s="18" t="s">
        <v>61</v>
      </c>
      <c r="G35" s="2">
        <v>380</v>
      </c>
      <c r="Y35" s="24">
        <v>2862.2</v>
      </c>
      <c r="Z35" s="8">
        <v>314.83999999999997</v>
      </c>
      <c r="AA35" s="29">
        <v>5460.52</v>
      </c>
      <c r="AC35" s="2">
        <v>0</v>
      </c>
      <c r="AD35" s="2" t="s">
        <v>53</v>
      </c>
      <c r="AE35" s="29">
        <v>5460.52</v>
      </c>
      <c r="AF35" s="2">
        <v>53111</v>
      </c>
      <c r="AG35" s="2">
        <v>0</v>
      </c>
      <c r="AH35" s="2" t="s">
        <v>54</v>
      </c>
      <c r="AI35" s="2" t="s">
        <v>55</v>
      </c>
      <c r="AJ35" s="2" t="s">
        <v>91</v>
      </c>
      <c r="AM35" s="2">
        <v>1</v>
      </c>
      <c r="AS35" s="4">
        <f>Table1[[#This Row],[Total fara TVA]]+Table1[[#This Row],[Total TVA]]</f>
        <v>3177.04</v>
      </c>
      <c r="AT35" s="24">
        <v>2862.2</v>
      </c>
      <c r="AU35" s="8">
        <v>314.83999999999997</v>
      </c>
      <c r="AV35" s="10">
        <f>Table1[[#This Row],[Total fara TVA]]+Table1[[#This Row],[Total TVA]]</f>
        <v>3177.04</v>
      </c>
      <c r="AW35" s="2" t="s">
        <v>57</v>
      </c>
      <c r="AX35" s="2">
        <v>11</v>
      </c>
      <c r="AY35">
        <v>310351</v>
      </c>
    </row>
    <row r="36" spans="1:51" ht="16.5" x14ac:dyDescent="0.3">
      <c r="A36" s="2" t="s">
        <v>58</v>
      </c>
      <c r="B36" s="3">
        <v>1504</v>
      </c>
      <c r="C36" s="2">
        <v>1</v>
      </c>
      <c r="E36" s="18" t="s">
        <v>62</v>
      </c>
      <c r="F36" s="18" t="s">
        <v>62</v>
      </c>
      <c r="G36" s="2">
        <v>380</v>
      </c>
      <c r="Y36" s="23">
        <v>3688.51</v>
      </c>
      <c r="Z36" s="8">
        <v>405.74</v>
      </c>
      <c r="AA36" s="29">
        <v>5470.96</v>
      </c>
      <c r="AC36" s="2">
        <v>0</v>
      </c>
      <c r="AD36" s="2" t="s">
        <v>53</v>
      </c>
      <c r="AE36" s="29">
        <v>5470.96</v>
      </c>
      <c r="AF36" s="2">
        <v>53111</v>
      </c>
      <c r="AG36" s="2">
        <v>0</v>
      </c>
      <c r="AH36" s="2" t="s">
        <v>54</v>
      </c>
      <c r="AI36" s="2" t="s">
        <v>55</v>
      </c>
      <c r="AJ36" s="2" t="s">
        <v>91</v>
      </c>
      <c r="AM36" s="2">
        <v>1</v>
      </c>
      <c r="AS36" s="4">
        <f>Table1[[#This Row],[Total fara TVA]]+Table1[[#This Row],[Total TVA]]</f>
        <v>4094.25</v>
      </c>
      <c r="AT36" s="23">
        <v>3688.51</v>
      </c>
      <c r="AU36" s="8">
        <v>405.74</v>
      </c>
      <c r="AV36" s="10">
        <f>Table1[[#This Row],[Total fara TVA]]+Table1[[#This Row],[Total TVA]]</f>
        <v>4094.25</v>
      </c>
      <c r="AW36" s="2" t="s">
        <v>57</v>
      </c>
      <c r="AX36" s="2">
        <v>11</v>
      </c>
      <c r="AY36">
        <v>310351</v>
      </c>
    </row>
    <row r="37" spans="1:51" ht="16.5" x14ac:dyDescent="0.3">
      <c r="A37" s="2" t="s">
        <v>58</v>
      </c>
      <c r="B37" s="3">
        <v>1505</v>
      </c>
      <c r="C37" s="2">
        <v>1</v>
      </c>
      <c r="E37" s="18" t="s">
        <v>63</v>
      </c>
      <c r="F37" s="18" t="s">
        <v>63</v>
      </c>
      <c r="G37" s="2">
        <v>380</v>
      </c>
      <c r="Y37" s="23">
        <v>4841.67</v>
      </c>
      <c r="Z37" s="8">
        <v>532.58000000000004</v>
      </c>
      <c r="AA37" s="29">
        <v>7485.96</v>
      </c>
      <c r="AC37" s="2">
        <v>0</v>
      </c>
      <c r="AD37" s="2" t="s">
        <v>53</v>
      </c>
      <c r="AE37" s="29">
        <v>7485.96</v>
      </c>
      <c r="AF37" s="2">
        <v>53111</v>
      </c>
      <c r="AG37" s="2">
        <v>0</v>
      </c>
      <c r="AH37" s="2" t="s">
        <v>54</v>
      </c>
      <c r="AI37" s="2" t="s">
        <v>55</v>
      </c>
      <c r="AJ37" s="2" t="s">
        <v>91</v>
      </c>
      <c r="AM37" s="2">
        <v>1</v>
      </c>
      <c r="AS37" s="4">
        <f>Table1[[#This Row],[Total fara TVA]]+Table1[[#This Row],[Total TVA]]</f>
        <v>5374.25</v>
      </c>
      <c r="AT37" s="23">
        <v>4841.67</v>
      </c>
      <c r="AU37" s="8">
        <v>532.58000000000004</v>
      </c>
      <c r="AV37" s="10">
        <f>Table1[[#This Row],[Total fara TVA]]+Table1[[#This Row],[Total TVA]]</f>
        <v>5374.25</v>
      </c>
      <c r="AW37" s="2" t="s">
        <v>57</v>
      </c>
      <c r="AX37" s="2">
        <v>11</v>
      </c>
      <c r="AY37">
        <v>310351</v>
      </c>
    </row>
    <row r="38" spans="1:51" ht="16.5" x14ac:dyDescent="0.3">
      <c r="A38" s="2" t="s">
        <v>58</v>
      </c>
      <c r="B38" s="3">
        <v>1506</v>
      </c>
      <c r="C38" s="2">
        <v>1</v>
      </c>
      <c r="E38" s="18" t="s">
        <v>64</v>
      </c>
      <c r="F38" s="18" t="s">
        <v>64</v>
      </c>
      <c r="G38" s="2">
        <v>380</v>
      </c>
      <c r="Y38" s="24">
        <v>3915.5</v>
      </c>
      <c r="Z38" s="8">
        <v>430.71</v>
      </c>
      <c r="AA38" s="29">
        <v>7318.67</v>
      </c>
      <c r="AC38" s="2">
        <v>0</v>
      </c>
      <c r="AD38" s="2" t="s">
        <v>53</v>
      </c>
      <c r="AE38" s="29">
        <v>7318.67</v>
      </c>
      <c r="AF38" s="2">
        <v>53111</v>
      </c>
      <c r="AG38" s="2">
        <v>0</v>
      </c>
      <c r="AH38" s="2" t="s">
        <v>54</v>
      </c>
      <c r="AI38" s="2" t="s">
        <v>55</v>
      </c>
      <c r="AJ38" s="2" t="s">
        <v>91</v>
      </c>
      <c r="AM38" s="2">
        <v>1</v>
      </c>
      <c r="AS38" s="4">
        <f>Table1[[#This Row],[Total fara TVA]]+Table1[[#This Row],[Total TVA]]</f>
        <v>4346.21</v>
      </c>
      <c r="AT38" s="24">
        <v>3915.5</v>
      </c>
      <c r="AU38" s="8">
        <v>430.71</v>
      </c>
      <c r="AV38" s="10">
        <f>Table1[[#This Row],[Total fara TVA]]+Table1[[#This Row],[Total TVA]]</f>
        <v>4346.21</v>
      </c>
      <c r="AW38" s="2" t="s">
        <v>57</v>
      </c>
      <c r="AX38" s="2">
        <v>11</v>
      </c>
      <c r="AY38">
        <v>310351</v>
      </c>
    </row>
    <row r="39" spans="1:51" ht="16.5" x14ac:dyDescent="0.3">
      <c r="A39" s="2" t="s">
        <v>58</v>
      </c>
      <c r="B39" s="3">
        <v>1507</v>
      </c>
      <c r="C39" s="2">
        <v>1</v>
      </c>
      <c r="E39" s="18" t="s">
        <v>65</v>
      </c>
      <c r="F39" s="18" t="s">
        <v>65</v>
      </c>
      <c r="G39" s="2">
        <v>380</v>
      </c>
      <c r="Y39" s="23">
        <v>4295.3100000000004</v>
      </c>
      <c r="Z39" s="8">
        <v>472.48</v>
      </c>
      <c r="AA39" s="29">
        <v>6244.8</v>
      </c>
      <c r="AC39" s="2">
        <v>0</v>
      </c>
      <c r="AD39" s="2" t="s">
        <v>53</v>
      </c>
      <c r="AE39" s="29">
        <v>6244.8</v>
      </c>
      <c r="AF39" s="2">
        <v>53111</v>
      </c>
      <c r="AG39" s="2">
        <v>0</v>
      </c>
      <c r="AH39" s="2" t="s">
        <v>54</v>
      </c>
      <c r="AI39" s="2" t="s">
        <v>55</v>
      </c>
      <c r="AJ39" s="2" t="s">
        <v>91</v>
      </c>
      <c r="AM39" s="2">
        <v>1</v>
      </c>
      <c r="AS39" s="4">
        <f>Table1[[#This Row],[Total fara TVA]]+Table1[[#This Row],[Total TVA]]</f>
        <v>4767.7900000000009</v>
      </c>
      <c r="AT39" s="23">
        <v>4295.3100000000004</v>
      </c>
      <c r="AU39" s="8">
        <v>472.48</v>
      </c>
      <c r="AV39" s="10">
        <f>Table1[[#This Row],[Total fara TVA]]+Table1[[#This Row],[Total TVA]]</f>
        <v>4767.7900000000009</v>
      </c>
      <c r="AW39" s="2" t="s">
        <v>57</v>
      </c>
      <c r="AX39" s="2">
        <v>11</v>
      </c>
      <c r="AY39">
        <v>310351</v>
      </c>
    </row>
    <row r="40" spans="1:51" ht="16.5" x14ac:dyDescent="0.3">
      <c r="A40" s="2" t="s">
        <v>58</v>
      </c>
      <c r="B40" s="3">
        <v>1508</v>
      </c>
      <c r="C40" s="2">
        <v>1</v>
      </c>
      <c r="E40" s="18" t="s">
        <v>66</v>
      </c>
      <c r="F40" s="18" t="s">
        <v>66</v>
      </c>
      <c r="G40" s="2">
        <v>380</v>
      </c>
      <c r="Y40" s="23">
        <v>4893.55</v>
      </c>
      <c r="Z40" s="8">
        <v>538.29</v>
      </c>
      <c r="AA40" s="29">
        <v>6815.1</v>
      </c>
      <c r="AC40" s="2">
        <v>0</v>
      </c>
      <c r="AD40" s="2" t="s">
        <v>53</v>
      </c>
      <c r="AE40" s="29">
        <v>6815.1</v>
      </c>
      <c r="AF40" s="2">
        <v>53111</v>
      </c>
      <c r="AG40" s="2">
        <v>0</v>
      </c>
      <c r="AH40" s="2" t="s">
        <v>54</v>
      </c>
      <c r="AI40" s="2" t="s">
        <v>55</v>
      </c>
      <c r="AJ40" s="2" t="s">
        <v>91</v>
      </c>
      <c r="AM40" s="2">
        <v>1</v>
      </c>
      <c r="AS40" s="4">
        <f>Table1[[#This Row],[Total fara TVA]]+Table1[[#This Row],[Total TVA]]</f>
        <v>5431.84</v>
      </c>
      <c r="AT40" s="23">
        <v>4893.55</v>
      </c>
      <c r="AU40" s="8">
        <v>538.29</v>
      </c>
      <c r="AV40" s="10">
        <f>Table1[[#This Row],[Total fara TVA]]+Table1[[#This Row],[Total TVA]]</f>
        <v>5431.84</v>
      </c>
      <c r="AW40" s="2" t="s">
        <v>57</v>
      </c>
      <c r="AX40" s="2">
        <v>11</v>
      </c>
      <c r="AY40">
        <v>310351</v>
      </c>
    </row>
    <row r="41" spans="1:51" ht="16.5" x14ac:dyDescent="0.3">
      <c r="A41" s="2" t="s">
        <v>58</v>
      </c>
      <c r="B41" s="3">
        <v>1509</v>
      </c>
      <c r="C41" s="2">
        <v>1</v>
      </c>
      <c r="E41" s="18" t="s">
        <v>67</v>
      </c>
      <c r="F41" s="18" t="s">
        <v>67</v>
      </c>
      <c r="G41" s="2">
        <v>380</v>
      </c>
      <c r="Y41" s="23">
        <v>3926.92</v>
      </c>
      <c r="Z41" s="8">
        <v>431.96</v>
      </c>
      <c r="AA41" s="29">
        <v>6457.3</v>
      </c>
      <c r="AC41" s="2">
        <v>0</v>
      </c>
      <c r="AD41" s="2" t="s">
        <v>53</v>
      </c>
      <c r="AE41" s="29">
        <v>6457.3</v>
      </c>
      <c r="AF41" s="2">
        <v>53111</v>
      </c>
      <c r="AG41" s="2">
        <v>0</v>
      </c>
      <c r="AH41" s="2" t="s">
        <v>54</v>
      </c>
      <c r="AI41" s="2" t="s">
        <v>55</v>
      </c>
      <c r="AJ41" s="2" t="s">
        <v>91</v>
      </c>
      <c r="AM41" s="2">
        <v>1</v>
      </c>
      <c r="AS41" s="4">
        <f>Table1[[#This Row],[Total fara TVA]]+Table1[[#This Row],[Total TVA]]</f>
        <v>4358.88</v>
      </c>
      <c r="AT41" s="23">
        <v>3926.92</v>
      </c>
      <c r="AU41" s="8">
        <v>431.96</v>
      </c>
      <c r="AV41" s="10">
        <f>Table1[[#This Row],[Total fara TVA]]+Table1[[#This Row],[Total TVA]]</f>
        <v>4358.88</v>
      </c>
      <c r="AW41" s="2" t="s">
        <v>57</v>
      </c>
      <c r="AX41" s="2">
        <v>11</v>
      </c>
      <c r="AY41">
        <v>310351</v>
      </c>
    </row>
    <row r="42" spans="1:51" ht="16.5" x14ac:dyDescent="0.3">
      <c r="A42" s="2" t="s">
        <v>58</v>
      </c>
      <c r="B42" s="3">
        <v>1510</v>
      </c>
      <c r="C42" s="2">
        <v>1</v>
      </c>
      <c r="E42" s="18" t="s">
        <v>68</v>
      </c>
      <c r="F42" s="18" t="s">
        <v>68</v>
      </c>
      <c r="G42" s="2">
        <v>380</v>
      </c>
      <c r="Y42" s="23">
        <v>4327.01</v>
      </c>
      <c r="Z42" s="8">
        <v>475.97</v>
      </c>
      <c r="AA42" s="29">
        <v>7436.52</v>
      </c>
      <c r="AC42" s="2">
        <v>0</v>
      </c>
      <c r="AD42" s="2" t="s">
        <v>53</v>
      </c>
      <c r="AE42" s="29">
        <v>7436.52</v>
      </c>
      <c r="AF42" s="2">
        <v>53111</v>
      </c>
      <c r="AG42" s="2">
        <v>0</v>
      </c>
      <c r="AH42" s="2" t="s">
        <v>54</v>
      </c>
      <c r="AI42" s="2" t="s">
        <v>55</v>
      </c>
      <c r="AJ42" s="2" t="s">
        <v>91</v>
      </c>
      <c r="AM42" s="2">
        <v>1</v>
      </c>
      <c r="AS42" s="4">
        <f>Table1[[#This Row],[Total fara TVA]]+Table1[[#This Row],[Total TVA]]</f>
        <v>4802.9800000000005</v>
      </c>
      <c r="AT42" s="23">
        <v>4327.01</v>
      </c>
      <c r="AU42" s="8">
        <v>475.97</v>
      </c>
      <c r="AV42" s="10">
        <f>Table1[[#This Row],[Total fara TVA]]+Table1[[#This Row],[Total TVA]]</f>
        <v>4802.9800000000005</v>
      </c>
      <c r="AW42" s="2" t="s">
        <v>57</v>
      </c>
      <c r="AX42" s="2">
        <v>11</v>
      </c>
      <c r="AY42">
        <v>310351</v>
      </c>
    </row>
    <row r="43" spans="1:51" ht="16.5" x14ac:dyDescent="0.3">
      <c r="A43" s="2" t="s">
        <v>58</v>
      </c>
      <c r="B43" s="3">
        <v>1511</v>
      </c>
      <c r="C43" s="2">
        <v>1</v>
      </c>
      <c r="E43" s="18" t="s">
        <v>69</v>
      </c>
      <c r="F43" s="18" t="s">
        <v>69</v>
      </c>
      <c r="G43" s="2">
        <v>380</v>
      </c>
      <c r="Y43" s="23">
        <v>4584.91</v>
      </c>
      <c r="Z43" s="8">
        <v>504.34</v>
      </c>
      <c r="AA43" s="29">
        <v>6597.41</v>
      </c>
      <c r="AC43" s="2">
        <v>0</v>
      </c>
      <c r="AD43" s="2" t="s">
        <v>53</v>
      </c>
      <c r="AE43" s="29">
        <v>6597.41</v>
      </c>
      <c r="AF43" s="2">
        <v>53111</v>
      </c>
      <c r="AG43" s="2">
        <v>0</v>
      </c>
      <c r="AH43" s="2" t="s">
        <v>54</v>
      </c>
      <c r="AI43" s="2" t="s">
        <v>55</v>
      </c>
      <c r="AJ43" s="2" t="s">
        <v>91</v>
      </c>
      <c r="AM43" s="2">
        <v>1</v>
      </c>
      <c r="AS43" s="4">
        <f>Table1[[#This Row],[Total fara TVA]]+Table1[[#This Row],[Total TVA]]</f>
        <v>5089.25</v>
      </c>
      <c r="AT43" s="23">
        <v>4584.91</v>
      </c>
      <c r="AU43" s="8">
        <v>504.34</v>
      </c>
      <c r="AV43" s="10">
        <f>Table1[[#This Row],[Total fara TVA]]+Table1[[#This Row],[Total TVA]]</f>
        <v>5089.25</v>
      </c>
      <c r="AW43" s="2" t="s">
        <v>57</v>
      </c>
      <c r="AX43" s="2">
        <v>11</v>
      </c>
      <c r="AY43">
        <v>310351</v>
      </c>
    </row>
    <row r="44" spans="1:51" ht="16.5" x14ac:dyDescent="0.3">
      <c r="A44" s="2" t="s">
        <v>58</v>
      </c>
      <c r="B44" s="3">
        <v>1512</v>
      </c>
      <c r="C44" s="2">
        <v>1</v>
      </c>
      <c r="E44" s="18" t="s">
        <v>70</v>
      </c>
      <c r="F44" s="18" t="s">
        <v>70</v>
      </c>
      <c r="G44" s="2">
        <v>380</v>
      </c>
      <c r="Y44" s="24">
        <v>4491.6000000000004</v>
      </c>
      <c r="Z44" s="8">
        <v>494.08</v>
      </c>
      <c r="AA44" s="29">
        <v>7247.99</v>
      </c>
      <c r="AC44" s="2">
        <v>0</v>
      </c>
      <c r="AD44" s="2" t="s">
        <v>53</v>
      </c>
      <c r="AE44" s="29">
        <v>7247.99</v>
      </c>
      <c r="AF44" s="2">
        <v>53111</v>
      </c>
      <c r="AG44" s="2">
        <v>0</v>
      </c>
      <c r="AH44" s="2" t="s">
        <v>54</v>
      </c>
      <c r="AI44" s="2" t="s">
        <v>55</v>
      </c>
      <c r="AJ44" s="2" t="s">
        <v>91</v>
      </c>
      <c r="AM44" s="2">
        <v>1</v>
      </c>
      <c r="AS44" s="4">
        <f>Table1[[#This Row],[Total fara TVA]]+Table1[[#This Row],[Total TVA]]</f>
        <v>4985.68</v>
      </c>
      <c r="AT44" s="24">
        <v>4491.6000000000004</v>
      </c>
      <c r="AU44" s="8">
        <v>494.08</v>
      </c>
      <c r="AV44" s="10">
        <f>Table1[[#This Row],[Total fara TVA]]+Table1[[#This Row],[Total TVA]]</f>
        <v>4985.68</v>
      </c>
      <c r="AW44" s="2" t="s">
        <v>57</v>
      </c>
      <c r="AX44" s="2">
        <v>11</v>
      </c>
      <c r="AY44">
        <v>310351</v>
      </c>
    </row>
    <row r="45" spans="1:51" ht="16.5" x14ac:dyDescent="0.3">
      <c r="A45" s="2" t="s">
        <v>58</v>
      </c>
      <c r="B45" s="3">
        <v>1513</v>
      </c>
      <c r="C45" s="2">
        <v>1</v>
      </c>
      <c r="E45" s="18" t="s">
        <v>71</v>
      </c>
      <c r="F45" s="18" t="s">
        <v>71</v>
      </c>
      <c r="G45" s="2">
        <v>380</v>
      </c>
      <c r="Y45" s="23">
        <v>4590.04</v>
      </c>
      <c r="Z45" s="9">
        <v>504.9</v>
      </c>
      <c r="AA45" s="29">
        <v>6586.74</v>
      </c>
      <c r="AC45" s="2">
        <v>0</v>
      </c>
      <c r="AD45" s="2" t="s">
        <v>53</v>
      </c>
      <c r="AE45" s="29">
        <v>6586.74</v>
      </c>
      <c r="AF45" s="2">
        <v>53111</v>
      </c>
      <c r="AG45" s="2">
        <v>0</v>
      </c>
      <c r="AH45" s="2" t="s">
        <v>54</v>
      </c>
      <c r="AI45" s="2" t="s">
        <v>55</v>
      </c>
      <c r="AJ45" s="2" t="s">
        <v>91</v>
      </c>
      <c r="AM45" s="2">
        <v>1</v>
      </c>
      <c r="AS45" s="4">
        <f>Table1[[#This Row],[Total fara TVA]]+Table1[[#This Row],[Total TVA]]</f>
        <v>5094.9399999999996</v>
      </c>
      <c r="AT45" s="23">
        <v>4590.04</v>
      </c>
      <c r="AU45" s="9">
        <v>504.9</v>
      </c>
      <c r="AV45" s="10">
        <f>Table1[[#This Row],[Total fara TVA]]+Table1[[#This Row],[Total TVA]]</f>
        <v>5094.9399999999996</v>
      </c>
      <c r="AW45" s="2" t="s">
        <v>57</v>
      </c>
      <c r="AX45" s="2">
        <v>11</v>
      </c>
      <c r="AY45">
        <v>310351</v>
      </c>
    </row>
    <row r="46" spans="1:51" ht="16.5" x14ac:dyDescent="0.3">
      <c r="A46" s="2" t="s">
        <v>58</v>
      </c>
      <c r="B46" s="3">
        <v>1514</v>
      </c>
      <c r="C46" s="2">
        <v>1</v>
      </c>
      <c r="E46" s="18" t="s">
        <v>72</v>
      </c>
      <c r="F46" s="18" t="s">
        <v>72</v>
      </c>
      <c r="G46" s="2">
        <v>380</v>
      </c>
      <c r="Y46" s="23">
        <v>4859.9399999999996</v>
      </c>
      <c r="Z46" s="8">
        <v>534.59</v>
      </c>
      <c r="AA46" s="29">
        <v>7534.41</v>
      </c>
      <c r="AC46" s="2">
        <v>0</v>
      </c>
      <c r="AD46" s="2" t="s">
        <v>53</v>
      </c>
      <c r="AE46" s="29">
        <v>7534.41</v>
      </c>
      <c r="AF46" s="2">
        <v>53111</v>
      </c>
      <c r="AG46" s="2">
        <v>0</v>
      </c>
      <c r="AH46" s="2" t="s">
        <v>54</v>
      </c>
      <c r="AI46" s="2" t="s">
        <v>55</v>
      </c>
      <c r="AJ46" s="2" t="s">
        <v>91</v>
      </c>
      <c r="AM46" s="2">
        <v>1</v>
      </c>
      <c r="AS46" s="4">
        <f>Table1[[#This Row],[Total fara TVA]]+Table1[[#This Row],[Total TVA]]</f>
        <v>5394.53</v>
      </c>
      <c r="AT46" s="23">
        <v>4859.9399999999996</v>
      </c>
      <c r="AU46" s="8">
        <v>534.59</v>
      </c>
      <c r="AV46" s="10">
        <f>Table1[[#This Row],[Total fara TVA]]+Table1[[#This Row],[Total TVA]]</f>
        <v>5394.53</v>
      </c>
      <c r="AW46" s="2" t="s">
        <v>57</v>
      </c>
      <c r="AX46" s="2">
        <v>11</v>
      </c>
      <c r="AY46">
        <v>310351</v>
      </c>
    </row>
    <row r="47" spans="1:51" ht="16.5" x14ac:dyDescent="0.3">
      <c r="A47" s="2" t="s">
        <v>58</v>
      </c>
      <c r="B47" s="3">
        <v>1515</v>
      </c>
      <c r="C47" s="2">
        <v>1</v>
      </c>
      <c r="E47" s="18" t="s">
        <v>73</v>
      </c>
      <c r="F47" s="18" t="s">
        <v>73</v>
      </c>
      <c r="G47" s="2">
        <v>380</v>
      </c>
      <c r="Y47" s="23">
        <v>4050.01</v>
      </c>
      <c r="Z47" s="9">
        <v>445.5</v>
      </c>
      <c r="AA47" s="29">
        <v>7071.11</v>
      </c>
      <c r="AC47" s="2">
        <v>0</v>
      </c>
      <c r="AD47" s="2" t="s">
        <v>53</v>
      </c>
      <c r="AE47" s="29">
        <v>7071.11</v>
      </c>
      <c r="AF47" s="2">
        <v>53111</v>
      </c>
      <c r="AG47" s="2">
        <v>0</v>
      </c>
      <c r="AH47" s="2" t="s">
        <v>54</v>
      </c>
      <c r="AI47" s="2" t="s">
        <v>55</v>
      </c>
      <c r="AJ47" s="2" t="s">
        <v>91</v>
      </c>
      <c r="AM47" s="2">
        <v>1</v>
      </c>
      <c r="AS47" s="4">
        <f>Table1[[#This Row],[Total fara TVA]]+Table1[[#This Row],[Total TVA]]</f>
        <v>4495.51</v>
      </c>
      <c r="AT47" s="23">
        <v>4050.01</v>
      </c>
      <c r="AU47" s="9">
        <v>445.5</v>
      </c>
      <c r="AV47" s="10">
        <f>Table1[[#This Row],[Total fara TVA]]+Table1[[#This Row],[Total TVA]]</f>
        <v>4495.51</v>
      </c>
      <c r="AW47" s="2" t="s">
        <v>57</v>
      </c>
      <c r="AX47" s="2">
        <v>11</v>
      </c>
      <c r="AY47">
        <v>310351</v>
      </c>
    </row>
    <row r="48" spans="1:51" ht="16.5" x14ac:dyDescent="0.3">
      <c r="A48" s="2" t="s">
        <v>58</v>
      </c>
      <c r="B48" s="3">
        <v>1516</v>
      </c>
      <c r="C48" s="2">
        <v>1</v>
      </c>
      <c r="E48" s="18" t="s">
        <v>74</v>
      </c>
      <c r="F48" s="18" t="s">
        <v>74</v>
      </c>
      <c r="G48" s="2">
        <v>380</v>
      </c>
      <c r="Y48" s="23">
        <v>4012.06</v>
      </c>
      <c r="Z48" s="8">
        <v>441.33</v>
      </c>
      <c r="AA48" s="29">
        <v>6478.06</v>
      </c>
      <c r="AC48" s="2">
        <v>0</v>
      </c>
      <c r="AD48" s="2" t="s">
        <v>53</v>
      </c>
      <c r="AE48" s="29">
        <v>6478.06</v>
      </c>
      <c r="AF48" s="2">
        <v>53111</v>
      </c>
      <c r="AG48" s="2">
        <v>0</v>
      </c>
      <c r="AH48" s="2" t="s">
        <v>54</v>
      </c>
      <c r="AI48" s="2" t="s">
        <v>55</v>
      </c>
      <c r="AJ48" s="2" t="s">
        <v>91</v>
      </c>
      <c r="AM48" s="2">
        <v>1</v>
      </c>
      <c r="AS48" s="4">
        <f>Table1[[#This Row],[Total fara TVA]]+Table1[[#This Row],[Total TVA]]</f>
        <v>4453.3900000000003</v>
      </c>
      <c r="AT48" s="23">
        <v>4012.06</v>
      </c>
      <c r="AU48" s="8">
        <v>441.33</v>
      </c>
      <c r="AV48" s="10">
        <f>Table1[[#This Row],[Total fara TVA]]+Table1[[#This Row],[Total TVA]]</f>
        <v>4453.3900000000003</v>
      </c>
      <c r="AW48" s="2" t="s">
        <v>57</v>
      </c>
      <c r="AX48" s="2">
        <v>11</v>
      </c>
      <c r="AY48">
        <v>310351</v>
      </c>
    </row>
    <row r="49" spans="1:51" ht="16.5" x14ac:dyDescent="0.3">
      <c r="A49" s="2" t="s">
        <v>58</v>
      </c>
      <c r="B49" s="3">
        <v>1517</v>
      </c>
      <c r="C49" s="2">
        <v>1</v>
      </c>
      <c r="E49" s="18" t="s">
        <v>75</v>
      </c>
      <c r="F49" s="18" t="s">
        <v>75</v>
      </c>
      <c r="G49" s="2">
        <v>380</v>
      </c>
      <c r="Y49" s="23">
        <v>3454.49</v>
      </c>
      <c r="Z49" s="8">
        <v>379.99</v>
      </c>
      <c r="AA49" s="29">
        <v>5500.51</v>
      </c>
      <c r="AC49" s="2">
        <v>0</v>
      </c>
      <c r="AD49" s="2" t="s">
        <v>53</v>
      </c>
      <c r="AE49" s="29">
        <v>5500.51</v>
      </c>
      <c r="AF49" s="2">
        <v>53111</v>
      </c>
      <c r="AG49" s="2">
        <v>0</v>
      </c>
      <c r="AH49" s="2" t="s">
        <v>54</v>
      </c>
      <c r="AI49" s="2" t="s">
        <v>55</v>
      </c>
      <c r="AJ49" s="2" t="s">
        <v>91</v>
      </c>
      <c r="AM49" s="2">
        <v>1</v>
      </c>
      <c r="AS49" s="4">
        <f>Table1[[#This Row],[Total fara TVA]]+Table1[[#This Row],[Total TVA]]</f>
        <v>3834.4799999999996</v>
      </c>
      <c r="AT49" s="23">
        <v>3454.49</v>
      </c>
      <c r="AU49" s="8">
        <v>379.99</v>
      </c>
      <c r="AV49" s="10">
        <f>Table1[[#This Row],[Total fara TVA]]+Table1[[#This Row],[Total TVA]]</f>
        <v>3834.4799999999996</v>
      </c>
      <c r="AW49" s="2" t="s">
        <v>57</v>
      </c>
      <c r="AX49" s="2">
        <v>11</v>
      </c>
      <c r="AY49">
        <v>310351</v>
      </c>
    </row>
    <row r="50" spans="1:51" ht="16.5" x14ac:dyDescent="0.3">
      <c r="A50" s="2" t="s">
        <v>58</v>
      </c>
      <c r="B50" s="3">
        <v>1518</v>
      </c>
      <c r="C50" s="2">
        <v>1</v>
      </c>
      <c r="E50" s="18" t="s">
        <v>76</v>
      </c>
      <c r="F50" s="18" t="s">
        <v>76</v>
      </c>
      <c r="G50" s="2">
        <v>380</v>
      </c>
      <c r="Y50" s="23">
        <v>4593.95</v>
      </c>
      <c r="Z50" s="8">
        <v>505.33</v>
      </c>
      <c r="AA50" s="29">
        <v>5823.19</v>
      </c>
      <c r="AC50" s="2">
        <v>0</v>
      </c>
      <c r="AD50" s="2" t="s">
        <v>53</v>
      </c>
      <c r="AE50" s="29">
        <v>5823.19</v>
      </c>
      <c r="AF50" s="2">
        <v>53111</v>
      </c>
      <c r="AG50" s="2">
        <v>0</v>
      </c>
      <c r="AH50" s="2" t="s">
        <v>54</v>
      </c>
      <c r="AI50" s="2" t="s">
        <v>55</v>
      </c>
      <c r="AJ50" s="2" t="s">
        <v>91</v>
      </c>
      <c r="AM50" s="2">
        <v>1</v>
      </c>
      <c r="AS50" s="4">
        <f>Table1[[#This Row],[Total fara TVA]]+Table1[[#This Row],[Total TVA]]</f>
        <v>5099.28</v>
      </c>
      <c r="AT50" s="23">
        <v>4593.95</v>
      </c>
      <c r="AU50" s="8">
        <v>505.33</v>
      </c>
      <c r="AV50" s="10">
        <f>Table1[[#This Row],[Total fara TVA]]+Table1[[#This Row],[Total TVA]]</f>
        <v>5099.28</v>
      </c>
      <c r="AW50" s="2" t="s">
        <v>57</v>
      </c>
      <c r="AX50" s="2">
        <v>11</v>
      </c>
      <c r="AY50">
        <v>310351</v>
      </c>
    </row>
    <row r="51" spans="1:51" ht="16.5" x14ac:dyDescent="0.3">
      <c r="A51" s="2" t="s">
        <v>58</v>
      </c>
      <c r="B51" s="3">
        <v>1519</v>
      </c>
      <c r="C51" s="2">
        <v>1</v>
      </c>
      <c r="E51" s="18" t="s">
        <v>77</v>
      </c>
      <c r="F51" s="18" t="s">
        <v>77</v>
      </c>
      <c r="G51" s="2">
        <v>380</v>
      </c>
      <c r="Y51" s="23">
        <v>5377.14</v>
      </c>
      <c r="Z51" s="8">
        <v>591.48</v>
      </c>
      <c r="AA51" s="29">
        <v>8390</v>
      </c>
      <c r="AC51" s="2">
        <v>0</v>
      </c>
      <c r="AD51" s="2" t="s">
        <v>53</v>
      </c>
      <c r="AE51" s="29">
        <v>8390</v>
      </c>
      <c r="AF51" s="2">
        <v>53111</v>
      </c>
      <c r="AG51" s="2">
        <v>0</v>
      </c>
      <c r="AH51" s="2" t="s">
        <v>54</v>
      </c>
      <c r="AI51" s="2" t="s">
        <v>55</v>
      </c>
      <c r="AJ51" s="2" t="s">
        <v>91</v>
      </c>
      <c r="AM51" s="2">
        <v>1</v>
      </c>
      <c r="AS51" s="4">
        <f>Table1[[#This Row],[Total fara TVA]]+Table1[[#This Row],[Total TVA]]</f>
        <v>5968.6200000000008</v>
      </c>
      <c r="AT51" s="23">
        <v>5377.14</v>
      </c>
      <c r="AU51" s="8">
        <v>591.48</v>
      </c>
      <c r="AV51" s="10">
        <f>Table1[[#This Row],[Total fara TVA]]+Table1[[#This Row],[Total TVA]]</f>
        <v>5968.6200000000008</v>
      </c>
      <c r="AW51" s="2" t="s">
        <v>57</v>
      </c>
      <c r="AX51" s="2">
        <v>11</v>
      </c>
      <c r="AY51">
        <v>310351</v>
      </c>
    </row>
    <row r="52" spans="1:51" ht="16.5" x14ac:dyDescent="0.3">
      <c r="A52" s="2" t="s">
        <v>58</v>
      </c>
      <c r="B52" s="3">
        <v>1520</v>
      </c>
      <c r="C52" s="2">
        <v>1</v>
      </c>
      <c r="E52" s="18" t="s">
        <v>78</v>
      </c>
      <c r="F52" s="18" t="s">
        <v>78</v>
      </c>
      <c r="G52" s="2">
        <v>380</v>
      </c>
      <c r="Y52" s="23">
        <v>5042.62</v>
      </c>
      <c r="Z52" s="8">
        <v>554.69000000000005</v>
      </c>
      <c r="AA52" s="29">
        <v>7198.85</v>
      </c>
      <c r="AC52" s="2">
        <v>0</v>
      </c>
      <c r="AD52" s="2" t="s">
        <v>53</v>
      </c>
      <c r="AE52" s="29">
        <v>7198.85</v>
      </c>
      <c r="AF52" s="2">
        <v>53111</v>
      </c>
      <c r="AG52" s="2">
        <v>0</v>
      </c>
      <c r="AH52" s="2" t="s">
        <v>54</v>
      </c>
      <c r="AI52" s="2" t="s">
        <v>55</v>
      </c>
      <c r="AJ52" s="2" t="s">
        <v>91</v>
      </c>
      <c r="AM52" s="2">
        <v>1</v>
      </c>
      <c r="AS52" s="4">
        <f>Table1[[#This Row],[Total fara TVA]]+Table1[[#This Row],[Total TVA]]</f>
        <v>5597.3099999999995</v>
      </c>
      <c r="AT52" s="23">
        <v>5042.62</v>
      </c>
      <c r="AU52" s="8">
        <v>554.69000000000005</v>
      </c>
      <c r="AV52" s="10">
        <f>Table1[[#This Row],[Total fara TVA]]+Table1[[#This Row],[Total TVA]]</f>
        <v>5597.3099999999995</v>
      </c>
      <c r="AW52" s="2" t="s">
        <v>57</v>
      </c>
      <c r="AX52" s="2">
        <v>11</v>
      </c>
      <c r="AY52">
        <v>310351</v>
      </c>
    </row>
    <row r="53" spans="1:51" ht="16.5" x14ac:dyDescent="0.3">
      <c r="A53" s="2" t="s">
        <v>58</v>
      </c>
      <c r="B53" s="3">
        <v>1521</v>
      </c>
      <c r="C53" s="2">
        <v>1</v>
      </c>
      <c r="E53" s="18" t="s">
        <v>79</v>
      </c>
      <c r="F53" s="18" t="s">
        <v>79</v>
      </c>
      <c r="G53" s="2">
        <v>380</v>
      </c>
      <c r="Y53" s="23">
        <v>4912.9399999999996</v>
      </c>
      <c r="Z53" s="8">
        <v>540.41999999999996</v>
      </c>
      <c r="AA53" s="29">
        <v>6981.27</v>
      </c>
      <c r="AC53" s="2">
        <v>0</v>
      </c>
      <c r="AD53" s="2" t="s">
        <v>53</v>
      </c>
      <c r="AE53" s="29">
        <v>6981.27</v>
      </c>
      <c r="AF53" s="2">
        <v>53111</v>
      </c>
      <c r="AG53" s="2">
        <v>0</v>
      </c>
      <c r="AH53" s="2" t="s">
        <v>54</v>
      </c>
      <c r="AI53" s="2" t="s">
        <v>55</v>
      </c>
      <c r="AJ53" s="2" t="s">
        <v>91</v>
      </c>
      <c r="AM53" s="2">
        <v>1</v>
      </c>
      <c r="AS53" s="4">
        <f>Table1[[#This Row],[Total fara TVA]]+Table1[[#This Row],[Total TVA]]</f>
        <v>5453.36</v>
      </c>
      <c r="AT53" s="23">
        <v>4912.9399999999996</v>
      </c>
      <c r="AU53" s="8">
        <v>540.41999999999996</v>
      </c>
      <c r="AV53" s="10">
        <f>Table1[[#This Row],[Total fara TVA]]+Table1[[#This Row],[Total TVA]]</f>
        <v>5453.36</v>
      </c>
      <c r="AW53" s="2" t="s">
        <v>57</v>
      </c>
      <c r="AX53" s="2">
        <v>11</v>
      </c>
      <c r="AY53">
        <v>310351</v>
      </c>
    </row>
    <row r="54" spans="1:51" ht="16.5" x14ac:dyDescent="0.3">
      <c r="A54" s="2" t="s">
        <v>58</v>
      </c>
      <c r="B54" s="3">
        <v>1522</v>
      </c>
      <c r="C54" s="2">
        <v>1</v>
      </c>
      <c r="E54" s="18" t="s">
        <v>80</v>
      </c>
      <c r="F54" s="18" t="s">
        <v>80</v>
      </c>
      <c r="G54" s="2">
        <v>380</v>
      </c>
      <c r="Y54" s="23">
        <v>4168.21</v>
      </c>
      <c r="Z54" s="9">
        <v>458.5</v>
      </c>
      <c r="AA54" s="29">
        <v>5784.1</v>
      </c>
      <c r="AC54" s="2">
        <v>0</v>
      </c>
      <c r="AD54" s="2" t="s">
        <v>53</v>
      </c>
      <c r="AE54" s="29">
        <v>5784.1</v>
      </c>
      <c r="AF54" s="2">
        <v>53111</v>
      </c>
      <c r="AG54" s="2">
        <v>0</v>
      </c>
      <c r="AH54" s="2" t="s">
        <v>54</v>
      </c>
      <c r="AI54" s="2" t="s">
        <v>55</v>
      </c>
      <c r="AJ54" s="2" t="s">
        <v>91</v>
      </c>
      <c r="AM54" s="2">
        <v>1</v>
      </c>
      <c r="AS54" s="4">
        <f>Table1[[#This Row],[Total fara TVA]]+Table1[[#This Row],[Total TVA]]</f>
        <v>4626.71</v>
      </c>
      <c r="AT54" s="23">
        <v>4168.21</v>
      </c>
      <c r="AU54" s="9">
        <v>458.5</v>
      </c>
      <c r="AV54" s="10">
        <f>Table1[[#This Row],[Total fara TVA]]+Table1[[#This Row],[Total TVA]]</f>
        <v>4626.71</v>
      </c>
      <c r="AW54" s="2" t="s">
        <v>57</v>
      </c>
      <c r="AX54" s="2">
        <v>11</v>
      </c>
      <c r="AY54">
        <v>310351</v>
      </c>
    </row>
    <row r="55" spans="1:51" ht="16.5" x14ac:dyDescent="0.3">
      <c r="A55" s="2" t="s">
        <v>58</v>
      </c>
      <c r="B55" s="3">
        <v>1523</v>
      </c>
      <c r="C55" s="2">
        <v>1</v>
      </c>
      <c r="E55" s="18" t="s">
        <v>81</v>
      </c>
      <c r="F55" s="18" t="s">
        <v>81</v>
      </c>
      <c r="G55" s="2">
        <v>380</v>
      </c>
      <c r="Y55" s="23">
        <v>4379.4799999999996</v>
      </c>
      <c r="Z55" s="8">
        <v>481.74</v>
      </c>
      <c r="AA55" s="29">
        <v>6466.29</v>
      </c>
      <c r="AC55" s="2">
        <v>0</v>
      </c>
      <c r="AD55" s="2" t="s">
        <v>53</v>
      </c>
      <c r="AE55" s="29">
        <v>6466.29</v>
      </c>
      <c r="AF55" s="2">
        <v>53111</v>
      </c>
      <c r="AG55" s="2">
        <v>0</v>
      </c>
      <c r="AH55" s="2" t="s">
        <v>54</v>
      </c>
      <c r="AI55" s="2" t="s">
        <v>55</v>
      </c>
      <c r="AJ55" s="2" t="s">
        <v>91</v>
      </c>
      <c r="AM55" s="2">
        <v>1</v>
      </c>
      <c r="AS55" s="4">
        <f>Table1[[#This Row],[Total fara TVA]]+Table1[[#This Row],[Total TVA]]</f>
        <v>4861.2199999999993</v>
      </c>
      <c r="AT55" s="23">
        <v>4379.4799999999996</v>
      </c>
      <c r="AU55" s="8">
        <v>481.74</v>
      </c>
      <c r="AV55" s="10">
        <f>Table1[[#This Row],[Total fara TVA]]+Table1[[#This Row],[Total TVA]]</f>
        <v>4861.2199999999993</v>
      </c>
      <c r="AW55" s="2" t="s">
        <v>57</v>
      </c>
      <c r="AX55" s="2">
        <v>11</v>
      </c>
      <c r="AY55">
        <v>310351</v>
      </c>
    </row>
    <row r="56" spans="1:51" ht="16.5" x14ac:dyDescent="0.3">
      <c r="A56" s="2" t="s">
        <v>58</v>
      </c>
      <c r="B56" s="3">
        <v>1524</v>
      </c>
      <c r="C56" s="2">
        <v>1</v>
      </c>
      <c r="E56" s="18" t="s">
        <v>82</v>
      </c>
      <c r="F56" s="18" t="s">
        <v>82</v>
      </c>
      <c r="G56" s="2">
        <v>380</v>
      </c>
      <c r="Y56" s="23">
        <v>2796.03</v>
      </c>
      <c r="Z56" s="8">
        <v>307.56</v>
      </c>
      <c r="AA56" s="29">
        <v>4785.59</v>
      </c>
      <c r="AC56" s="2">
        <v>0</v>
      </c>
      <c r="AD56" s="2" t="s">
        <v>53</v>
      </c>
      <c r="AE56" s="29">
        <v>4785.59</v>
      </c>
      <c r="AF56" s="2">
        <v>53111</v>
      </c>
      <c r="AG56" s="2">
        <v>0</v>
      </c>
      <c r="AH56" s="2" t="s">
        <v>54</v>
      </c>
      <c r="AI56" s="2" t="s">
        <v>55</v>
      </c>
      <c r="AJ56" s="2" t="s">
        <v>91</v>
      </c>
      <c r="AM56" s="2">
        <v>1</v>
      </c>
      <c r="AS56" s="4">
        <f>Table1[[#This Row],[Total fara TVA]]+Table1[[#This Row],[Total TVA]]</f>
        <v>3103.59</v>
      </c>
      <c r="AT56" s="23">
        <v>2796.03</v>
      </c>
      <c r="AU56" s="8">
        <v>307.56</v>
      </c>
      <c r="AV56" s="10">
        <f>Table1[[#This Row],[Total fara TVA]]+Table1[[#This Row],[Total TVA]]</f>
        <v>3103.59</v>
      </c>
      <c r="AW56" s="2" t="s">
        <v>57</v>
      </c>
      <c r="AX56" s="2">
        <v>11</v>
      </c>
      <c r="AY56">
        <v>310351</v>
      </c>
    </row>
    <row r="57" spans="1:51" ht="16.5" x14ac:dyDescent="0.3">
      <c r="A57" s="2" t="s">
        <v>58</v>
      </c>
      <c r="B57" s="3">
        <v>1525</v>
      </c>
      <c r="C57" s="2">
        <v>1</v>
      </c>
      <c r="E57" s="18" t="s">
        <v>83</v>
      </c>
      <c r="F57" s="18" t="s">
        <v>83</v>
      </c>
      <c r="G57" s="2">
        <v>380</v>
      </c>
      <c r="Y57" s="24">
        <v>3882.6</v>
      </c>
      <c r="Z57" s="8">
        <v>427.09</v>
      </c>
      <c r="AA57" s="29">
        <v>5409.09</v>
      </c>
      <c r="AC57" s="2">
        <v>0</v>
      </c>
      <c r="AD57" s="2" t="s">
        <v>53</v>
      </c>
      <c r="AE57" s="29">
        <v>5409.09</v>
      </c>
      <c r="AF57" s="2">
        <v>53111</v>
      </c>
      <c r="AG57" s="2">
        <v>0</v>
      </c>
      <c r="AH57" s="2" t="s">
        <v>54</v>
      </c>
      <c r="AI57" s="2" t="s">
        <v>55</v>
      </c>
      <c r="AJ57" s="2" t="s">
        <v>91</v>
      </c>
      <c r="AM57" s="2">
        <v>1</v>
      </c>
      <c r="AS57" s="4">
        <f>Table1[[#This Row],[Total fara TVA]]+Table1[[#This Row],[Total TVA]]</f>
        <v>4309.6899999999996</v>
      </c>
      <c r="AT57" s="24">
        <v>3882.6</v>
      </c>
      <c r="AU57" s="8">
        <v>427.09</v>
      </c>
      <c r="AV57" s="10">
        <f>Table1[[#This Row],[Total fara TVA]]+Table1[[#This Row],[Total TVA]]</f>
        <v>4309.6899999999996</v>
      </c>
      <c r="AW57" s="2" t="s">
        <v>57</v>
      </c>
      <c r="AX57" s="2">
        <v>11</v>
      </c>
      <c r="AY57">
        <v>310351</v>
      </c>
    </row>
    <row r="58" spans="1:51" ht="16.5" x14ac:dyDescent="0.3">
      <c r="A58" s="2" t="s">
        <v>58</v>
      </c>
      <c r="B58" s="3">
        <v>1526</v>
      </c>
      <c r="C58" s="2">
        <v>1</v>
      </c>
      <c r="E58" s="18" t="s">
        <v>84</v>
      </c>
      <c r="F58" s="18" t="s">
        <v>84</v>
      </c>
      <c r="G58" s="2">
        <v>380</v>
      </c>
      <c r="Y58" s="23">
        <v>3835.47</v>
      </c>
      <c r="Z58" s="9">
        <v>421.9</v>
      </c>
      <c r="AA58" s="29">
        <v>5782.03</v>
      </c>
      <c r="AC58" s="2">
        <v>0</v>
      </c>
      <c r="AD58" s="2" t="s">
        <v>53</v>
      </c>
      <c r="AE58" s="29">
        <v>5782.03</v>
      </c>
      <c r="AF58" s="2">
        <v>53111</v>
      </c>
      <c r="AG58" s="2">
        <v>0</v>
      </c>
      <c r="AH58" s="2" t="s">
        <v>54</v>
      </c>
      <c r="AI58" s="2" t="s">
        <v>55</v>
      </c>
      <c r="AJ58" s="2" t="s">
        <v>91</v>
      </c>
      <c r="AM58" s="2">
        <v>1</v>
      </c>
      <c r="AS58" s="10">
        <f>Table1[[#This Row],[Total fara TVA]]+Table1[[#This Row],[Total TVA]]</f>
        <v>4257.37</v>
      </c>
      <c r="AT58" s="23">
        <v>3835.47</v>
      </c>
      <c r="AU58" s="9">
        <v>421.9</v>
      </c>
      <c r="AV58" s="10">
        <f>Table1[[#This Row],[Total fara TVA]]+Table1[[#This Row],[Total TVA]]</f>
        <v>4257.37</v>
      </c>
      <c r="AW58" s="2" t="s">
        <v>57</v>
      </c>
      <c r="AX58" s="2">
        <v>11</v>
      </c>
      <c r="AY58">
        <v>310351</v>
      </c>
    </row>
    <row r="59" spans="1:51" ht="16.5" x14ac:dyDescent="0.3">
      <c r="A59" s="2" t="s">
        <v>58</v>
      </c>
      <c r="B59" s="3">
        <v>1527</v>
      </c>
      <c r="C59" s="2">
        <v>1</v>
      </c>
      <c r="E59" s="18" t="s">
        <v>85</v>
      </c>
      <c r="F59" s="18" t="s">
        <v>85</v>
      </c>
      <c r="G59" s="2">
        <v>380</v>
      </c>
      <c r="Y59" s="23">
        <v>3767.53</v>
      </c>
      <c r="Z59" s="8">
        <v>414.43</v>
      </c>
      <c r="AA59" s="29">
        <v>5615.62</v>
      </c>
      <c r="AB59" s="7"/>
      <c r="AC59" s="2">
        <v>0</v>
      </c>
      <c r="AD59" s="2" t="s">
        <v>53</v>
      </c>
      <c r="AE59" s="29">
        <v>5615.62</v>
      </c>
      <c r="AF59" s="2">
        <v>53111</v>
      </c>
      <c r="AG59" s="2">
        <v>0</v>
      </c>
      <c r="AH59" s="2" t="s">
        <v>54</v>
      </c>
      <c r="AI59" s="2" t="s">
        <v>55</v>
      </c>
      <c r="AJ59" s="2" t="s">
        <v>91</v>
      </c>
      <c r="AM59" s="2">
        <v>1</v>
      </c>
      <c r="AS59" s="10">
        <f>Table1[[#This Row],[Total fara TVA]]+Table1[[#This Row],[Total TVA]]</f>
        <v>4181.96</v>
      </c>
      <c r="AT59" s="23">
        <v>3767.53</v>
      </c>
      <c r="AU59" s="8">
        <v>414.43</v>
      </c>
      <c r="AV59" s="10">
        <f>Table1[[#This Row],[Total fara TVA]]+Table1[[#This Row],[Total TVA]]</f>
        <v>4181.96</v>
      </c>
      <c r="AW59" s="2" t="s">
        <v>57</v>
      </c>
      <c r="AX59" s="2">
        <v>11</v>
      </c>
      <c r="AY59">
        <v>310351</v>
      </c>
    </row>
    <row r="60" spans="1:51" ht="16.5" x14ac:dyDescent="0.3">
      <c r="A60" s="2" t="s">
        <v>58</v>
      </c>
      <c r="B60" s="3">
        <v>1528</v>
      </c>
      <c r="C60" s="2">
        <v>1</v>
      </c>
      <c r="E60" s="18" t="s">
        <v>86</v>
      </c>
      <c r="F60" s="18" t="s">
        <v>86</v>
      </c>
      <c r="G60" s="2">
        <v>380</v>
      </c>
      <c r="Y60" s="23">
        <v>4354.92</v>
      </c>
      <c r="Z60" s="8">
        <v>479.04</v>
      </c>
      <c r="AA60" s="29">
        <v>5980.29</v>
      </c>
      <c r="AC60" s="2">
        <v>0</v>
      </c>
      <c r="AD60" s="2" t="s">
        <v>53</v>
      </c>
      <c r="AE60" s="29">
        <v>5980.29</v>
      </c>
      <c r="AF60" s="2">
        <v>53111</v>
      </c>
      <c r="AG60" s="2">
        <v>0</v>
      </c>
      <c r="AH60" s="2" t="s">
        <v>54</v>
      </c>
      <c r="AI60" s="2" t="s">
        <v>55</v>
      </c>
      <c r="AJ60" s="2" t="s">
        <v>91</v>
      </c>
      <c r="AM60" s="2">
        <v>1</v>
      </c>
      <c r="AS60" s="10">
        <f>Table1[[#This Row],[Total fara TVA]]+Table1[[#This Row],[Total TVA]]</f>
        <v>4833.96</v>
      </c>
      <c r="AT60" s="23">
        <v>4354.92</v>
      </c>
      <c r="AU60" s="8">
        <v>479.04</v>
      </c>
      <c r="AV60" s="10">
        <f>Table1[[#This Row],[Total fara TVA]]+Table1[[#This Row],[Total TVA]]</f>
        <v>4833.96</v>
      </c>
      <c r="AW60" s="2" t="s">
        <v>57</v>
      </c>
      <c r="AX60" s="2">
        <v>11</v>
      </c>
      <c r="AY60">
        <v>310351</v>
      </c>
    </row>
    <row r="61" spans="1:51" ht="16.5" x14ac:dyDescent="0.3">
      <c r="A61" s="2" t="s">
        <v>58</v>
      </c>
      <c r="B61" s="3">
        <v>1529</v>
      </c>
      <c r="C61" s="2">
        <v>1</v>
      </c>
      <c r="E61" s="18" t="s">
        <v>87</v>
      </c>
      <c r="F61" s="18" t="s">
        <v>87</v>
      </c>
      <c r="G61" s="2">
        <v>380</v>
      </c>
      <c r="Y61" s="23">
        <v>4875.21</v>
      </c>
      <c r="Z61" s="8">
        <v>536.27</v>
      </c>
      <c r="AA61" s="29">
        <v>6552.82</v>
      </c>
      <c r="AC61" s="2">
        <v>0</v>
      </c>
      <c r="AD61" s="2" t="s">
        <v>53</v>
      </c>
      <c r="AE61" s="29">
        <v>6552.82</v>
      </c>
      <c r="AF61" s="2">
        <v>53111</v>
      </c>
      <c r="AG61" s="2">
        <v>0</v>
      </c>
      <c r="AH61" s="2" t="s">
        <v>54</v>
      </c>
      <c r="AI61" s="2" t="s">
        <v>55</v>
      </c>
      <c r="AJ61" s="2" t="s">
        <v>91</v>
      </c>
      <c r="AM61" s="2">
        <v>1</v>
      </c>
      <c r="AS61" s="10">
        <f>Table1[[#This Row],[Total fara TVA]]+Table1[[#This Row],[Total TVA]]</f>
        <v>5411.48</v>
      </c>
      <c r="AT61" s="23">
        <v>4875.21</v>
      </c>
      <c r="AU61" s="8">
        <v>536.27</v>
      </c>
      <c r="AV61" s="10">
        <f>Table1[[#This Row],[Total fara TVA]]+Table1[[#This Row],[Total TVA]]</f>
        <v>5411.48</v>
      </c>
      <c r="AW61" s="2" t="s">
        <v>57</v>
      </c>
      <c r="AX61" s="2">
        <v>11</v>
      </c>
      <c r="AY61">
        <v>310351</v>
      </c>
    </row>
    <row r="62" spans="1:51" ht="16.5" x14ac:dyDescent="0.3">
      <c r="A62" s="2" t="s">
        <v>58</v>
      </c>
      <c r="B62" s="3">
        <v>1530</v>
      </c>
      <c r="C62" s="2">
        <v>1</v>
      </c>
      <c r="E62" s="18" t="s">
        <v>88</v>
      </c>
      <c r="F62" s="18" t="s">
        <v>88</v>
      </c>
      <c r="G62" s="2">
        <v>380</v>
      </c>
      <c r="Y62" s="23">
        <v>3647.49</v>
      </c>
      <c r="Z62" s="8">
        <v>401.22</v>
      </c>
      <c r="AA62" s="29">
        <v>6818.66</v>
      </c>
      <c r="AC62" s="2">
        <v>0</v>
      </c>
      <c r="AD62" s="2" t="s">
        <v>53</v>
      </c>
      <c r="AE62" s="29">
        <v>6818.66</v>
      </c>
      <c r="AF62" s="2">
        <v>53111</v>
      </c>
      <c r="AG62" s="2">
        <v>0</v>
      </c>
      <c r="AH62" s="2" t="s">
        <v>54</v>
      </c>
      <c r="AI62" s="2" t="s">
        <v>55</v>
      </c>
      <c r="AJ62" s="2" t="s">
        <v>91</v>
      </c>
      <c r="AM62" s="2">
        <v>1</v>
      </c>
      <c r="AS62" s="10">
        <f>Table1[[#This Row],[Total fara TVA]]+Table1[[#This Row],[Total TVA]]</f>
        <v>4048.71</v>
      </c>
      <c r="AT62" s="23">
        <v>3647.49</v>
      </c>
      <c r="AU62" s="8">
        <v>401.22</v>
      </c>
      <c r="AV62" s="10">
        <f>Table1[[#This Row],[Total fara TVA]]+Table1[[#This Row],[Total TVA]]</f>
        <v>4048.71</v>
      </c>
      <c r="AW62" s="2" t="s">
        <v>57</v>
      </c>
      <c r="AX62" s="2">
        <v>11</v>
      </c>
      <c r="AY62">
        <v>310351</v>
      </c>
    </row>
    <row r="63" spans="1:51" ht="16.5" x14ac:dyDescent="0.3">
      <c r="A63" s="2" t="s">
        <v>58</v>
      </c>
      <c r="B63" s="3">
        <v>1531</v>
      </c>
      <c r="C63" s="2">
        <v>1</v>
      </c>
      <c r="E63" s="18" t="s">
        <v>89</v>
      </c>
      <c r="F63" s="18" t="s">
        <v>89</v>
      </c>
      <c r="G63" s="2">
        <v>380</v>
      </c>
      <c r="Y63" s="23">
        <v>2867.59</v>
      </c>
      <c r="Z63" s="8">
        <v>315.43</v>
      </c>
      <c r="AA63" s="29">
        <v>4322.8999999999996</v>
      </c>
      <c r="AC63" s="2">
        <v>0</v>
      </c>
      <c r="AD63" s="2" t="s">
        <v>53</v>
      </c>
      <c r="AE63" s="29">
        <v>4322.8999999999996</v>
      </c>
      <c r="AF63" s="2">
        <v>53111</v>
      </c>
      <c r="AG63" s="2">
        <v>0</v>
      </c>
      <c r="AH63" s="2" t="s">
        <v>54</v>
      </c>
      <c r="AI63" s="2" t="s">
        <v>55</v>
      </c>
      <c r="AJ63" s="2" t="s">
        <v>91</v>
      </c>
      <c r="AM63" s="2">
        <v>1</v>
      </c>
      <c r="AS63" s="10">
        <f>Table1[[#This Row],[Total fara TVA]]+Table1[[#This Row],[Total TVA]]</f>
        <v>3183.02</v>
      </c>
      <c r="AT63" s="23">
        <v>2867.59</v>
      </c>
      <c r="AU63" s="8">
        <v>315.43</v>
      </c>
      <c r="AV63" s="10">
        <f>Table1[[#This Row],[Total fara TVA]]+Table1[[#This Row],[Total TVA]]</f>
        <v>3183.02</v>
      </c>
      <c r="AW63" s="2" t="s">
        <v>57</v>
      </c>
      <c r="AX63" s="2">
        <v>11</v>
      </c>
      <c r="AY63">
        <v>310351</v>
      </c>
    </row>
  </sheetData>
  <phoneticPr fontId="3" type="noConversion"/>
  <pageMargins left="0" right="0" top="0" bottom="0" header="0" footer="0"/>
  <ignoredErrors>
    <ignoredError sqref="A1:BA1 O2:X2 AD2 AD3 AG2:AI2 AG3:AI3 AW3 AW2 AM3:AP3 AM2:AP2 AK2 AK3 H3:X3 AR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NextUp 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Claudia</dc:creator>
  <cp:keywords/>
  <dc:description/>
  <cp:lastModifiedBy>Vlad Claudia</cp:lastModifiedBy>
  <cp:revision/>
  <dcterms:created xsi:type="dcterms:W3CDTF">2023-08-25T11:20:24Z</dcterms:created>
  <dcterms:modified xsi:type="dcterms:W3CDTF">2025-09-17T10:03:44Z</dcterms:modified>
  <cp:category/>
  <cp:contentStatus/>
</cp:coreProperties>
</file>